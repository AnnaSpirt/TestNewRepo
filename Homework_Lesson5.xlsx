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D59E32F-3FB4-42C3-8EF2-AA1A4A5CE32B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Products" sheetId="1" r:id="rId1"/>
    <sheet name="Sales" sheetId="2" r:id="rId2"/>
    <sheet name="Homework 5 Basic Functions" sheetId="3" r:id="rId3"/>
    <sheet name="Conditional Functions" sheetId="4" r:id="rId4"/>
    <sheet name="Lookup Functions" sheetId="5" r:id="rId5"/>
    <sheet name="PivotTabl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5" l="1" a="1"/>
  <c r="B5" i="5" s="1"/>
  <c r="D5" i="5"/>
  <c r="C7" i="4"/>
  <c r="C6" i="4"/>
  <c r="C5" i="4"/>
  <c r="E6" i="3"/>
  <c r="E5" i="3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D5" i="3"/>
  <c r="C5" i="3"/>
  <c r="B5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<sst xmlns="http://schemas.openxmlformats.org/spreadsheetml/2006/main" count="1119" uniqueCount="210">
  <si>
    <t>ProductID</t>
  </si>
  <si>
    <t>Manufacturer</t>
  </si>
  <si>
    <t>Model</t>
  </si>
  <si>
    <t>VehicleType</t>
  </si>
  <si>
    <t>EngineSize</t>
  </si>
  <si>
    <t>Horsepower</t>
  </si>
  <si>
    <t>FuelEfficiency</t>
  </si>
  <si>
    <t>P001</t>
  </si>
  <si>
    <t>Honda</t>
  </si>
  <si>
    <t>RAV4</t>
  </si>
  <si>
    <t>SUV</t>
  </si>
  <si>
    <t>P002</t>
  </si>
  <si>
    <t>Civic</t>
  </si>
  <si>
    <t>Hatchback</t>
  </si>
  <si>
    <t>P003</t>
  </si>
  <si>
    <t>F-150</t>
  </si>
  <si>
    <t>Sedan</t>
  </si>
  <si>
    <t>P004</t>
  </si>
  <si>
    <t>BMW</t>
  </si>
  <si>
    <t>X3</t>
  </si>
  <si>
    <t>P005</t>
  </si>
  <si>
    <t>Toyota</t>
  </si>
  <si>
    <t>A5</t>
  </si>
  <si>
    <t>P006</t>
  </si>
  <si>
    <t>Tucson</t>
  </si>
  <si>
    <t>Truck</t>
  </si>
  <si>
    <t>P007</t>
  </si>
  <si>
    <t>Hyundai</t>
  </si>
  <si>
    <t>CX-5</t>
  </si>
  <si>
    <t>P008</t>
  </si>
  <si>
    <t>Nissan</t>
  </si>
  <si>
    <t>Malibu</t>
  </si>
  <si>
    <t>P009</t>
  </si>
  <si>
    <t>Audi</t>
  </si>
  <si>
    <t>Altima</t>
  </si>
  <si>
    <t>P010</t>
  </si>
  <si>
    <t>C-Class</t>
  </si>
  <si>
    <t>P011</t>
  </si>
  <si>
    <t>Corolla</t>
  </si>
  <si>
    <t>Coupe</t>
  </si>
  <si>
    <t>P012</t>
  </si>
  <si>
    <t>Accord</t>
  </si>
  <si>
    <t>P013</t>
  </si>
  <si>
    <t>Mercedes</t>
  </si>
  <si>
    <t>Mustang</t>
  </si>
  <si>
    <t>P014</t>
  </si>
  <si>
    <t>Mazda</t>
  </si>
  <si>
    <t>X5</t>
  </si>
  <si>
    <t>P015</t>
  </si>
  <si>
    <t>Q5</t>
  </si>
  <si>
    <t>P016</t>
  </si>
  <si>
    <t>Santa Fe</t>
  </si>
  <si>
    <t>P017</t>
  </si>
  <si>
    <t>CX-9</t>
  </si>
  <si>
    <t>P018</t>
  </si>
  <si>
    <t>Camaro</t>
  </si>
  <si>
    <t>P019</t>
  </si>
  <si>
    <t>Rogue</t>
  </si>
  <si>
    <t>P020</t>
  </si>
  <si>
    <t>Ford</t>
  </si>
  <si>
    <t>GLA</t>
  </si>
  <si>
    <t>OrderID</t>
  </si>
  <si>
    <t>Date</t>
  </si>
  <si>
    <t>Customer</t>
  </si>
  <si>
    <t>City</t>
  </si>
  <si>
    <t>Quantity</t>
  </si>
  <si>
    <t>Discount</t>
  </si>
  <si>
    <t>PaymentMethod</t>
  </si>
  <si>
    <t>Revenue</t>
  </si>
  <si>
    <t>2022-10-05</t>
  </si>
  <si>
    <t>Frank</t>
  </si>
  <si>
    <t>Ottawa</t>
  </si>
  <si>
    <t>Lease</t>
  </si>
  <si>
    <t>2022-09-03</t>
  </si>
  <si>
    <t>Oscar</t>
  </si>
  <si>
    <t>Edmonton</t>
  </si>
  <si>
    <t>Credit Card</t>
  </si>
  <si>
    <t>2022-11-28</t>
  </si>
  <si>
    <t>David</t>
  </si>
  <si>
    <t>Financing</t>
  </si>
  <si>
    <t>2021-04-25</t>
  </si>
  <si>
    <t>Jack</t>
  </si>
  <si>
    <t>Montreal</t>
  </si>
  <si>
    <t>2022-05-28</t>
  </si>
  <si>
    <t>Cash</t>
  </si>
  <si>
    <t>2021-06-06</t>
  </si>
  <si>
    <t>Leo</t>
  </si>
  <si>
    <t>Toronto</t>
  </si>
  <si>
    <t>2022-05-16</t>
  </si>
  <si>
    <t>Alice</t>
  </si>
  <si>
    <t>Calgary</t>
  </si>
  <si>
    <t>2022-08-04</t>
  </si>
  <si>
    <t>Carol</t>
  </si>
  <si>
    <t>2021-05-12</t>
  </si>
  <si>
    <t>Paul</t>
  </si>
  <si>
    <t>2021-08-05</t>
  </si>
  <si>
    <t>Rita</t>
  </si>
  <si>
    <t>2022-03-25</t>
  </si>
  <si>
    <t>Quinn</t>
  </si>
  <si>
    <t>2021-01-22</t>
  </si>
  <si>
    <t>Sam</t>
  </si>
  <si>
    <t>2022-12-26</t>
  </si>
  <si>
    <t>Bob</t>
  </si>
  <si>
    <t>2022-06-11</t>
  </si>
  <si>
    <t>Hannah</t>
  </si>
  <si>
    <t>Vancouver</t>
  </si>
  <si>
    <t>2021-09-06</t>
  </si>
  <si>
    <t>2021-12-29</t>
  </si>
  <si>
    <t>Nina</t>
  </si>
  <si>
    <t>2021-03-04</t>
  </si>
  <si>
    <t>Mona</t>
  </si>
  <si>
    <t>2022-07-04</t>
  </si>
  <si>
    <t>2021-03-19</t>
  </si>
  <si>
    <t>2021-04-06</t>
  </si>
  <si>
    <t>2021-03-02</t>
  </si>
  <si>
    <t>2021-10-20</t>
  </si>
  <si>
    <t>2021-08-11</t>
  </si>
  <si>
    <t>2021-02-21</t>
  </si>
  <si>
    <t>2021-07-10</t>
  </si>
  <si>
    <t>2022-08-16</t>
  </si>
  <si>
    <t>Tina</t>
  </si>
  <si>
    <t>2021-09-25</t>
  </si>
  <si>
    <t>Grace</t>
  </si>
  <si>
    <t>2022-11-19</t>
  </si>
  <si>
    <t>2021-03-17</t>
  </si>
  <si>
    <t>2021-03-12</t>
  </si>
  <si>
    <t>2022-09-19</t>
  </si>
  <si>
    <t>2021-05-18</t>
  </si>
  <si>
    <t>Ian</t>
  </si>
  <si>
    <t>2022-09-12</t>
  </si>
  <si>
    <t>2022-06-02</t>
  </si>
  <si>
    <t>2021-02-15</t>
  </si>
  <si>
    <t>2022-07-19</t>
  </si>
  <si>
    <t>2022-07-13</t>
  </si>
  <si>
    <t>2021-02-12</t>
  </si>
  <si>
    <t>2022-11-14</t>
  </si>
  <si>
    <t>2021-08-31</t>
  </si>
  <si>
    <t>2022-02-26</t>
  </si>
  <si>
    <t>2022-04-27</t>
  </si>
  <si>
    <t>2021-08-17</t>
  </si>
  <si>
    <t>2021-10-13</t>
  </si>
  <si>
    <t>2021-01-29</t>
  </si>
  <si>
    <t>2021-02-09</t>
  </si>
  <si>
    <t>2022-03-23</t>
  </si>
  <si>
    <t>2021-09-18</t>
  </si>
  <si>
    <t>2022-01-08</t>
  </si>
  <si>
    <t>2021-11-04</t>
  </si>
  <si>
    <t>2022-07-22</t>
  </si>
  <si>
    <t>Emily</t>
  </si>
  <si>
    <t>2022-09-23</t>
  </si>
  <si>
    <t>2021-10-21</t>
  </si>
  <si>
    <t>2022-03-29</t>
  </si>
  <si>
    <t>2022-11-06</t>
  </si>
  <si>
    <t>2022-11-20</t>
  </si>
  <si>
    <t>2022-05-02</t>
  </si>
  <si>
    <t>2022-12-15</t>
  </si>
  <si>
    <t>2021-04-20</t>
  </si>
  <si>
    <t>2021-05-05</t>
  </si>
  <si>
    <t>2022-03-30</t>
  </si>
  <si>
    <t>2021-06-12</t>
  </si>
  <si>
    <t>2022-06-18</t>
  </si>
  <si>
    <t>2021-08-29</t>
  </si>
  <si>
    <t>2021-08-25</t>
  </si>
  <si>
    <t>2021-12-05</t>
  </si>
  <si>
    <t>2022-02-03</t>
  </si>
  <si>
    <t>2021-12-27</t>
  </si>
  <si>
    <t>2022-05-15</t>
  </si>
  <si>
    <t>2022-11-16</t>
  </si>
  <si>
    <t>2022-02-08</t>
  </si>
  <si>
    <t>2022-04-18</t>
  </si>
  <si>
    <t>2021-12-01</t>
  </si>
  <si>
    <t>Karen</t>
  </si>
  <si>
    <t>2021-08-18</t>
  </si>
  <si>
    <t>2021-01-21</t>
  </si>
  <si>
    <t>2022-08-01</t>
  </si>
  <si>
    <t>2021-06-17</t>
  </si>
  <si>
    <t>2022-02-11</t>
  </si>
  <si>
    <t>2022-12-02</t>
  </si>
  <si>
    <t>2022-11-09</t>
  </si>
  <si>
    <t>2022-05-17</t>
  </si>
  <si>
    <t>2021-06-30</t>
  </si>
  <si>
    <t>2022-04-22</t>
  </si>
  <si>
    <t>2021-03-30</t>
  </si>
  <si>
    <t>2021-12-11</t>
  </si>
  <si>
    <t>2021-09-22</t>
  </si>
  <si>
    <t>2021-03-29</t>
  </si>
  <si>
    <t>2022-12-09</t>
  </si>
  <si>
    <t>2021-10-29</t>
  </si>
  <si>
    <t>2022-04-30</t>
  </si>
  <si>
    <t>2021-11-20</t>
  </si>
  <si>
    <t>2021-10-11</t>
  </si>
  <si>
    <t>2021-10-31</t>
  </si>
  <si>
    <t>2021-10-08</t>
  </si>
  <si>
    <t>2022-10-16</t>
  </si>
  <si>
    <t>2022-03-28</t>
  </si>
  <si>
    <t>2021-04-27</t>
  </si>
  <si>
    <t>2021-06-05</t>
  </si>
  <si>
    <t>Basic Functions</t>
  </si>
  <si>
    <t>Total revenue</t>
  </si>
  <si>
    <t xml:space="preserve"> lowest prices</t>
  </si>
  <si>
    <t>Highest prices</t>
  </si>
  <si>
    <t>Base Price</t>
  </si>
  <si>
    <t>Average product rating</t>
  </si>
  <si>
    <t>Conditional Functions</t>
  </si>
  <si>
    <t>SUMIF, COUNTIF, AVERAGEIF</t>
  </si>
  <si>
    <t>Total top orders</t>
  </si>
  <si>
    <t>Number of orders with the highest revenue</t>
  </si>
  <si>
    <t>Average top revenue</t>
  </si>
  <si>
    <t xml:space="preserve">Lookup Functions 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</si>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</sst>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rgb="FF606060"/>
      <name val="Source Sans Pro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1" fillId="0" borderId="0" xfId="0" applyNumberFormat="1" applyFont="1" applyAlignment="1">
      <alignment horizontal="left" vertical="top"/>
    </xf>
    <xf numFmtId="44" fontId="0" fillId="0" borderId="0" xfId="0" applyNumberFormat="1" applyAlignment="1">
      <alignment horizontal="left"/>
    </xf>
    <xf numFmtId="0" fontId="2" fillId="0" borderId="0" xfId="0" applyFont="1"/>
    <xf numFmtId="0" fontId="0" fillId="0" borderId="1" xfId="0" applyBorder="1"/>
    <xf numFmtId="44" fontId="0" fillId="0" borderId="1" xfId="0" applyNumberFormat="1" applyBorder="1"/>
    <xf numFmtId="44" fontId="0" fillId="0" borderId="0" xfId="0" applyNumberFormat="1" applyAlignment="1">
      <alignment horizontal="center"/>
    </xf>
    <xf numFmtId="44" fontId="3" fillId="0" borderId="0" xfId="0" applyNumberFormat="1" applyFont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2" fontId="0" fillId="0" borderId="1" xfId="0" applyNumberFormat="1" applyBorder="1"/>
    <xf numFmtId="2" fontId="0" fillId="0" borderId="2" xfId="0" applyNumberFormat="1" applyBorder="1"/>
    <xf numFmtId="2" fontId="0" fillId="0" borderId="3" xfId="0" applyNumberFormat="1" applyBorder="1"/>
    <xf numFmtId="2" fontId="0" fillId="0" borderId="4" xfId="0" applyNumberFormat="1" applyBorder="1"/>
    <xf numFmtId="0" fontId="0" fillId="2" borderId="1" xfId="0" applyFill="1" applyBorder="1"/>
    <xf numFmtId="1" fontId="0" fillId="0" borderId="1" xfId="0" applyNumberFormat="1" applyBorder="1"/>
    <xf numFmtId="0" fontId="3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workbookViewId="0">
      <selection activeCell="D23" sqref="D23"/>
    </sheetView>
  </sheetViews>
  <sheetFormatPr defaultRowHeight="14.4" x14ac:dyDescent="0.3"/>
  <cols>
    <col min="1" max="1" width="10.77734375" style="2" customWidth="1"/>
    <col min="2" max="2" width="12.21875" style="2" customWidth="1"/>
    <col min="3" max="6" width="10.77734375" style="2" customWidth="1"/>
    <col min="7" max="7" width="13.6640625" style="2" customWidth="1"/>
    <col min="8" max="8" width="12.88671875" style="9" customWidth="1"/>
    <col min="9" max="9" width="21.5546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0" t="s">
        <v>201</v>
      </c>
      <c r="I1" s="11" t="s">
        <v>202</v>
      </c>
    </row>
    <row r="2" spans="1:9" x14ac:dyDescent="0.3">
      <c r="A2" s="3" t="s">
        <v>7</v>
      </c>
      <c r="B2" s="3" t="s">
        <v>8</v>
      </c>
      <c r="C2" s="3" t="s">
        <v>9</v>
      </c>
      <c r="D2" s="3" t="s">
        <v>10</v>
      </c>
      <c r="E2" s="3">
        <v>4.0999999999999996</v>
      </c>
      <c r="F2" s="3">
        <v>225</v>
      </c>
      <c r="G2" s="3">
        <v>22</v>
      </c>
      <c r="H2" s="9">
        <v>27144</v>
      </c>
      <c r="I2" s="13">
        <f>(F2/E2)*G2</f>
        <v>1207.3170731707319</v>
      </c>
    </row>
    <row r="3" spans="1:9" x14ac:dyDescent="0.3">
      <c r="A3" s="3" t="s">
        <v>11</v>
      </c>
      <c r="B3" s="3" t="s">
        <v>8</v>
      </c>
      <c r="C3" s="3" t="s">
        <v>12</v>
      </c>
      <c r="D3" s="3" t="s">
        <v>13</v>
      </c>
      <c r="E3" s="3">
        <v>1.8</v>
      </c>
      <c r="F3" s="3">
        <v>316</v>
      </c>
      <c r="G3" s="3">
        <v>16</v>
      </c>
      <c r="H3" s="9">
        <v>19952</v>
      </c>
      <c r="I3" s="14">
        <f>(F3/E3)*G3</f>
        <v>2808.8888888888887</v>
      </c>
    </row>
    <row r="4" spans="1:9" x14ac:dyDescent="0.3">
      <c r="A4" s="3" t="s">
        <v>14</v>
      </c>
      <c r="B4" s="3" t="s">
        <v>8</v>
      </c>
      <c r="C4" s="3" t="s">
        <v>15</v>
      </c>
      <c r="D4" s="3" t="s">
        <v>16</v>
      </c>
      <c r="E4" s="3">
        <v>2.2999999999999998</v>
      </c>
      <c r="F4" s="3">
        <v>408</v>
      </c>
      <c r="G4" s="3">
        <v>15</v>
      </c>
      <c r="H4" s="9">
        <v>54781</v>
      </c>
      <c r="I4" s="14">
        <f t="shared" ref="I3:I21" si="0">(F4/E4)*G4</f>
        <v>2660.8695652173915</v>
      </c>
    </row>
    <row r="5" spans="1:9" x14ac:dyDescent="0.3">
      <c r="A5" s="3" t="s">
        <v>17</v>
      </c>
      <c r="B5" s="3" t="s">
        <v>18</v>
      </c>
      <c r="C5" s="3" t="s">
        <v>19</v>
      </c>
      <c r="D5" s="3" t="s">
        <v>13</v>
      </c>
      <c r="E5" s="3">
        <v>3</v>
      </c>
      <c r="F5" s="3">
        <v>329</v>
      </c>
      <c r="G5" s="3">
        <v>33</v>
      </c>
      <c r="H5" s="9">
        <v>36231</v>
      </c>
      <c r="I5" s="14">
        <f t="shared" si="0"/>
        <v>3619</v>
      </c>
    </row>
    <row r="6" spans="1:9" x14ac:dyDescent="0.3">
      <c r="A6" s="3" t="s">
        <v>20</v>
      </c>
      <c r="B6" s="3" t="s">
        <v>21</v>
      </c>
      <c r="C6" s="3" t="s">
        <v>22</v>
      </c>
      <c r="D6" s="3" t="s">
        <v>16</v>
      </c>
      <c r="E6" s="3">
        <v>3.9</v>
      </c>
      <c r="F6" s="3">
        <v>274</v>
      </c>
      <c r="G6" s="3">
        <v>23</v>
      </c>
      <c r="H6" s="9">
        <v>28189</v>
      </c>
      <c r="I6" s="14">
        <f t="shared" si="0"/>
        <v>1615.897435897436</v>
      </c>
    </row>
    <row r="7" spans="1:9" x14ac:dyDescent="0.3">
      <c r="A7" s="3" t="s">
        <v>23</v>
      </c>
      <c r="B7" s="3" t="s">
        <v>18</v>
      </c>
      <c r="C7" s="3" t="s">
        <v>24</v>
      </c>
      <c r="D7" s="3" t="s">
        <v>25</v>
      </c>
      <c r="E7" s="3">
        <v>1.9</v>
      </c>
      <c r="F7" s="3">
        <v>294</v>
      </c>
      <c r="G7" s="3">
        <v>18</v>
      </c>
      <c r="H7" s="9">
        <v>41526</v>
      </c>
      <c r="I7" s="14">
        <f t="shared" si="0"/>
        <v>2785.2631578947371</v>
      </c>
    </row>
    <row r="8" spans="1:9" x14ac:dyDescent="0.3">
      <c r="A8" s="3" t="s">
        <v>26</v>
      </c>
      <c r="B8" s="3" t="s">
        <v>27</v>
      </c>
      <c r="C8" s="3" t="s">
        <v>28</v>
      </c>
      <c r="D8" s="3" t="s">
        <v>13</v>
      </c>
      <c r="E8" s="3">
        <v>2.4</v>
      </c>
      <c r="F8" s="3">
        <v>122</v>
      </c>
      <c r="G8" s="3">
        <v>38</v>
      </c>
      <c r="H8" s="9">
        <v>48108</v>
      </c>
      <c r="I8" s="14">
        <f t="shared" si="0"/>
        <v>1931.6666666666667</v>
      </c>
    </row>
    <row r="9" spans="1:9" x14ac:dyDescent="0.3">
      <c r="A9" s="3" t="s">
        <v>29</v>
      </c>
      <c r="B9" s="3" t="s">
        <v>30</v>
      </c>
      <c r="C9" s="3" t="s">
        <v>31</v>
      </c>
      <c r="D9" s="3" t="s">
        <v>10</v>
      </c>
      <c r="E9" s="3">
        <v>4.9000000000000004</v>
      </c>
      <c r="F9" s="3">
        <v>293</v>
      </c>
      <c r="G9" s="3">
        <v>17</v>
      </c>
      <c r="H9" s="9">
        <v>54178</v>
      </c>
      <c r="I9" s="14">
        <f t="shared" si="0"/>
        <v>1016.530612244898</v>
      </c>
    </row>
    <row r="10" spans="1:9" x14ac:dyDescent="0.3">
      <c r="A10" s="3" t="s">
        <v>32</v>
      </c>
      <c r="B10" s="3" t="s">
        <v>33</v>
      </c>
      <c r="C10" s="3" t="s">
        <v>34</v>
      </c>
      <c r="D10" s="3" t="s">
        <v>13</v>
      </c>
      <c r="E10" s="3">
        <v>4.5999999999999996</v>
      </c>
      <c r="F10" s="3">
        <v>285</v>
      </c>
      <c r="G10" s="3">
        <v>33</v>
      </c>
      <c r="H10" s="9">
        <v>30601</v>
      </c>
      <c r="I10" s="14">
        <f t="shared" si="0"/>
        <v>2044.5652173913045</v>
      </c>
    </row>
    <row r="11" spans="1:9" x14ac:dyDescent="0.3">
      <c r="A11" s="3" t="s">
        <v>35</v>
      </c>
      <c r="B11" s="3" t="s">
        <v>8</v>
      </c>
      <c r="C11" s="3" t="s">
        <v>36</v>
      </c>
      <c r="D11" s="3" t="s">
        <v>10</v>
      </c>
      <c r="E11" s="3">
        <v>3.8</v>
      </c>
      <c r="F11" s="3">
        <v>248</v>
      </c>
      <c r="G11" s="3">
        <v>17</v>
      </c>
      <c r="H11" s="9">
        <v>33256</v>
      </c>
      <c r="I11" s="14">
        <f t="shared" si="0"/>
        <v>1109.4736842105265</v>
      </c>
    </row>
    <row r="12" spans="1:9" x14ac:dyDescent="0.3">
      <c r="A12" s="3" t="s">
        <v>37</v>
      </c>
      <c r="B12" s="3" t="s">
        <v>8</v>
      </c>
      <c r="C12" s="3" t="s">
        <v>38</v>
      </c>
      <c r="D12" s="3" t="s">
        <v>39</v>
      </c>
      <c r="E12" s="3">
        <v>2.5</v>
      </c>
      <c r="F12" s="3">
        <v>425</v>
      </c>
      <c r="G12" s="3">
        <v>26</v>
      </c>
      <c r="H12" s="9">
        <v>28659</v>
      </c>
      <c r="I12" s="14">
        <f t="shared" si="0"/>
        <v>4420</v>
      </c>
    </row>
    <row r="13" spans="1:9" x14ac:dyDescent="0.3">
      <c r="A13" s="3" t="s">
        <v>40</v>
      </c>
      <c r="B13" s="3" t="s">
        <v>27</v>
      </c>
      <c r="C13" s="3" t="s">
        <v>41</v>
      </c>
      <c r="D13" s="3" t="s">
        <v>25</v>
      </c>
      <c r="E13" s="3">
        <v>2.2000000000000002</v>
      </c>
      <c r="F13" s="3">
        <v>236</v>
      </c>
      <c r="G13" s="3">
        <v>37</v>
      </c>
      <c r="H13" s="9">
        <v>22679</v>
      </c>
      <c r="I13" s="14">
        <f t="shared" si="0"/>
        <v>3969.090909090909</v>
      </c>
    </row>
    <row r="14" spans="1:9" x14ac:dyDescent="0.3">
      <c r="A14" s="3" t="s">
        <v>42</v>
      </c>
      <c r="B14" s="3" t="s">
        <v>43</v>
      </c>
      <c r="C14" s="3" t="s">
        <v>44</v>
      </c>
      <c r="D14" s="3" t="s">
        <v>16</v>
      </c>
      <c r="E14" s="3">
        <v>3.4</v>
      </c>
      <c r="F14" s="3">
        <v>225</v>
      </c>
      <c r="G14" s="3">
        <v>20</v>
      </c>
      <c r="H14" s="9">
        <v>48294</v>
      </c>
      <c r="I14" s="14">
        <f t="shared" si="0"/>
        <v>1323.5294117647059</v>
      </c>
    </row>
    <row r="15" spans="1:9" x14ac:dyDescent="0.3">
      <c r="A15" s="3" t="s">
        <v>45</v>
      </c>
      <c r="B15" s="3" t="s">
        <v>46</v>
      </c>
      <c r="C15" s="3" t="s">
        <v>47</v>
      </c>
      <c r="D15" s="3" t="s">
        <v>25</v>
      </c>
      <c r="E15" s="3">
        <v>5</v>
      </c>
      <c r="F15" s="3">
        <v>427</v>
      </c>
      <c r="G15" s="3">
        <v>37</v>
      </c>
      <c r="H15" s="9">
        <v>54500</v>
      </c>
      <c r="I15" s="14">
        <f t="shared" si="0"/>
        <v>3159.8</v>
      </c>
    </row>
    <row r="16" spans="1:9" x14ac:dyDescent="0.3">
      <c r="A16" s="3" t="s">
        <v>48</v>
      </c>
      <c r="B16" s="3" t="s">
        <v>18</v>
      </c>
      <c r="C16" s="3" t="s">
        <v>49</v>
      </c>
      <c r="D16" s="3" t="s">
        <v>25</v>
      </c>
      <c r="E16" s="3">
        <v>4.4000000000000004</v>
      </c>
      <c r="F16" s="3">
        <v>128</v>
      </c>
      <c r="G16" s="3">
        <v>22</v>
      </c>
      <c r="H16" s="9">
        <v>20103</v>
      </c>
      <c r="I16" s="14">
        <f t="shared" si="0"/>
        <v>640</v>
      </c>
    </row>
    <row r="17" spans="1:9" x14ac:dyDescent="0.3">
      <c r="A17" s="3" t="s">
        <v>50</v>
      </c>
      <c r="B17" s="3" t="s">
        <v>27</v>
      </c>
      <c r="C17" s="3" t="s">
        <v>51</v>
      </c>
      <c r="D17" s="3" t="s">
        <v>39</v>
      </c>
      <c r="E17" s="3">
        <v>2.4</v>
      </c>
      <c r="F17" s="3">
        <v>208</v>
      </c>
      <c r="G17" s="3">
        <v>33</v>
      </c>
      <c r="H17" s="9">
        <v>38622</v>
      </c>
      <c r="I17" s="14">
        <f t="shared" si="0"/>
        <v>2860</v>
      </c>
    </row>
    <row r="18" spans="1:9" x14ac:dyDescent="0.3">
      <c r="A18" s="3" t="s">
        <v>52</v>
      </c>
      <c r="B18" s="3" t="s">
        <v>18</v>
      </c>
      <c r="C18" s="3" t="s">
        <v>53</v>
      </c>
      <c r="D18" s="3" t="s">
        <v>39</v>
      </c>
      <c r="E18" s="3">
        <v>2.9</v>
      </c>
      <c r="F18" s="3">
        <v>429</v>
      </c>
      <c r="G18" s="3">
        <v>29</v>
      </c>
      <c r="H18" s="9">
        <v>27363</v>
      </c>
      <c r="I18" s="14">
        <f t="shared" si="0"/>
        <v>4290</v>
      </c>
    </row>
    <row r="19" spans="1:9" x14ac:dyDescent="0.3">
      <c r="A19" s="3" t="s">
        <v>54</v>
      </c>
      <c r="B19" s="3" t="s">
        <v>33</v>
      </c>
      <c r="C19" s="3" t="s">
        <v>55</v>
      </c>
      <c r="D19" s="3" t="s">
        <v>16</v>
      </c>
      <c r="E19" s="3">
        <v>2.4</v>
      </c>
      <c r="F19" s="3">
        <v>387</v>
      </c>
      <c r="G19" s="3">
        <v>32</v>
      </c>
      <c r="H19" s="9">
        <v>35219</v>
      </c>
      <c r="I19" s="14">
        <f t="shared" si="0"/>
        <v>5160</v>
      </c>
    </row>
    <row r="20" spans="1:9" x14ac:dyDescent="0.3">
      <c r="A20" s="3" t="s">
        <v>56</v>
      </c>
      <c r="B20" s="3" t="s">
        <v>43</v>
      </c>
      <c r="C20" s="3" t="s">
        <v>57</v>
      </c>
      <c r="D20" s="3" t="s">
        <v>39</v>
      </c>
      <c r="E20" s="3">
        <v>4.5999999999999996</v>
      </c>
      <c r="F20" s="3">
        <v>304</v>
      </c>
      <c r="G20" s="3">
        <v>26</v>
      </c>
      <c r="H20" s="9">
        <v>32373</v>
      </c>
      <c r="I20" s="14">
        <f t="shared" si="0"/>
        <v>1718.2608695652177</v>
      </c>
    </row>
    <row r="21" spans="1:9" x14ac:dyDescent="0.3">
      <c r="A21" s="3" t="s">
        <v>58</v>
      </c>
      <c r="B21" s="3" t="s">
        <v>59</v>
      </c>
      <c r="C21" s="3" t="s">
        <v>60</v>
      </c>
      <c r="D21" s="3" t="s">
        <v>13</v>
      </c>
      <c r="E21" s="3">
        <v>3.2</v>
      </c>
      <c r="F21" s="3">
        <v>124</v>
      </c>
      <c r="G21" s="3">
        <v>18</v>
      </c>
      <c r="H21" s="9">
        <v>28016</v>
      </c>
      <c r="I21" s="15">
        <f t="shared" si="0"/>
        <v>697.5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1"/>
  <sheetViews>
    <sheetView workbookViewId="0">
      <selection activeCell="K18" sqref="K18"/>
    </sheetView>
  </sheetViews>
  <sheetFormatPr defaultRowHeight="14.4" x14ac:dyDescent="0.3"/>
  <cols>
    <col min="1" max="7" width="10.109375" style="2" customWidth="1"/>
    <col min="8" max="8" width="16.33203125" style="2" customWidth="1"/>
    <col min="9" max="9" width="13.33203125" style="5" customWidth="1"/>
  </cols>
  <sheetData>
    <row r="1" spans="1:9" x14ac:dyDescent="0.3">
      <c r="A1" s="1" t="s">
        <v>61</v>
      </c>
      <c r="B1" s="1" t="s">
        <v>62</v>
      </c>
      <c r="C1" s="1" t="s">
        <v>63</v>
      </c>
      <c r="D1" s="1" t="s">
        <v>64</v>
      </c>
      <c r="E1" s="1" t="s">
        <v>0</v>
      </c>
      <c r="F1" s="1" t="s">
        <v>65</v>
      </c>
      <c r="G1" s="1" t="s">
        <v>66</v>
      </c>
      <c r="H1" s="1" t="s">
        <v>67</v>
      </c>
      <c r="I1" s="4" t="s">
        <v>68</v>
      </c>
    </row>
    <row r="2" spans="1:9" x14ac:dyDescent="0.3">
      <c r="A2" s="2">
        <v>1001</v>
      </c>
      <c r="B2" s="2" t="s">
        <v>69</v>
      </c>
      <c r="C2" s="2" t="s">
        <v>70</v>
      </c>
      <c r="D2" s="2" t="s">
        <v>71</v>
      </c>
      <c r="E2" s="2" t="s">
        <v>45</v>
      </c>
      <c r="F2" s="2">
        <v>5</v>
      </c>
      <c r="G2" s="2">
        <v>0.01</v>
      </c>
      <c r="H2" s="2" t="s">
        <v>72</v>
      </c>
      <c r="I2" s="5">
        <v>269775</v>
      </c>
    </row>
    <row r="3" spans="1:9" x14ac:dyDescent="0.3">
      <c r="A3" s="2">
        <v>1002</v>
      </c>
      <c r="B3" s="2" t="s">
        <v>73</v>
      </c>
      <c r="C3" s="2" t="s">
        <v>74</v>
      </c>
      <c r="D3" s="2" t="s">
        <v>75</v>
      </c>
      <c r="E3" s="2" t="s">
        <v>32</v>
      </c>
      <c r="F3" s="2">
        <v>5</v>
      </c>
      <c r="G3" s="2">
        <v>0.13</v>
      </c>
      <c r="H3" s="2" t="s">
        <v>76</v>
      </c>
      <c r="I3" s="5">
        <v>133114.35</v>
      </c>
    </row>
    <row r="4" spans="1:9" x14ac:dyDescent="0.3">
      <c r="A4" s="2">
        <v>1003</v>
      </c>
      <c r="B4" s="2" t="s">
        <v>77</v>
      </c>
      <c r="C4" s="2" t="s">
        <v>78</v>
      </c>
      <c r="D4" s="2" t="s">
        <v>71</v>
      </c>
      <c r="E4" s="2" t="s">
        <v>54</v>
      </c>
      <c r="F4" s="2">
        <v>3</v>
      </c>
      <c r="G4" s="2">
        <v>0.12</v>
      </c>
      <c r="H4" s="2" t="s">
        <v>79</v>
      </c>
      <c r="I4" s="5">
        <v>92978.16</v>
      </c>
    </row>
    <row r="5" spans="1:9" x14ac:dyDescent="0.3">
      <c r="A5" s="2">
        <v>1004</v>
      </c>
      <c r="B5" s="2" t="s">
        <v>80</v>
      </c>
      <c r="C5" s="2" t="s">
        <v>81</v>
      </c>
      <c r="D5" s="2" t="s">
        <v>82</v>
      </c>
      <c r="E5" s="2" t="s">
        <v>23</v>
      </c>
      <c r="F5" s="2">
        <v>4</v>
      </c>
      <c r="G5" s="2">
        <v>0</v>
      </c>
      <c r="H5" s="2" t="s">
        <v>79</v>
      </c>
      <c r="I5" s="5">
        <v>166104</v>
      </c>
    </row>
    <row r="6" spans="1:9" x14ac:dyDescent="0.3">
      <c r="A6" s="2">
        <v>1005</v>
      </c>
      <c r="B6" s="2" t="s">
        <v>83</v>
      </c>
      <c r="C6" s="2" t="s">
        <v>70</v>
      </c>
      <c r="D6" s="2" t="s">
        <v>75</v>
      </c>
      <c r="E6" s="2" t="s">
        <v>17</v>
      </c>
      <c r="F6" s="2">
        <v>3</v>
      </c>
      <c r="G6" s="2">
        <v>0.13</v>
      </c>
      <c r="H6" s="2" t="s">
        <v>84</v>
      </c>
      <c r="I6" s="5">
        <v>94562.91</v>
      </c>
    </row>
    <row r="7" spans="1:9" x14ac:dyDescent="0.3">
      <c r="A7" s="2">
        <v>1006</v>
      </c>
      <c r="B7" s="2" t="s">
        <v>85</v>
      </c>
      <c r="C7" s="2" t="s">
        <v>86</v>
      </c>
      <c r="D7" s="2" t="s">
        <v>87</v>
      </c>
      <c r="E7" s="2" t="s">
        <v>54</v>
      </c>
      <c r="F7" s="2">
        <v>5</v>
      </c>
      <c r="G7" s="2">
        <v>0.14000000000000001</v>
      </c>
      <c r="H7" s="2" t="s">
        <v>79</v>
      </c>
      <c r="I7" s="5">
        <v>151441.70000000001</v>
      </c>
    </row>
    <row r="8" spans="1:9" x14ac:dyDescent="0.3">
      <c r="A8" s="2">
        <v>1007</v>
      </c>
      <c r="B8" s="2" t="s">
        <v>88</v>
      </c>
      <c r="C8" s="2" t="s">
        <v>89</v>
      </c>
      <c r="D8" s="2" t="s">
        <v>90</v>
      </c>
      <c r="E8" s="2" t="s">
        <v>40</v>
      </c>
      <c r="F8" s="2">
        <v>3</v>
      </c>
      <c r="G8" s="2">
        <v>0.04</v>
      </c>
      <c r="H8" s="2" t="s">
        <v>84</v>
      </c>
      <c r="I8" s="5">
        <v>65315.519999999997</v>
      </c>
    </row>
    <row r="9" spans="1:9" x14ac:dyDescent="0.3">
      <c r="A9" s="2">
        <v>1008</v>
      </c>
      <c r="B9" s="2" t="s">
        <v>91</v>
      </c>
      <c r="C9" s="2" t="s">
        <v>92</v>
      </c>
      <c r="D9" s="2" t="s">
        <v>90</v>
      </c>
      <c r="E9" s="2" t="s">
        <v>50</v>
      </c>
      <c r="F9" s="2">
        <v>1</v>
      </c>
      <c r="G9" s="2">
        <v>0.15</v>
      </c>
      <c r="H9" s="2" t="s">
        <v>84</v>
      </c>
      <c r="I9" s="5">
        <v>32828.699999999997</v>
      </c>
    </row>
    <row r="10" spans="1:9" x14ac:dyDescent="0.3">
      <c r="A10" s="2">
        <v>1009</v>
      </c>
      <c r="B10" s="2" t="s">
        <v>93</v>
      </c>
      <c r="C10" s="2" t="s">
        <v>94</v>
      </c>
      <c r="D10" s="2" t="s">
        <v>75</v>
      </c>
      <c r="E10" s="2" t="s">
        <v>23</v>
      </c>
      <c r="F10" s="2">
        <v>3</v>
      </c>
      <c r="G10" s="2">
        <v>0.08</v>
      </c>
      <c r="H10" s="2" t="s">
        <v>72</v>
      </c>
      <c r="I10" s="5">
        <v>114611.76</v>
      </c>
    </row>
    <row r="11" spans="1:9" x14ac:dyDescent="0.3">
      <c r="A11" s="2">
        <v>1010</v>
      </c>
      <c r="B11" s="2" t="s">
        <v>95</v>
      </c>
      <c r="C11" s="2" t="s">
        <v>96</v>
      </c>
      <c r="D11" s="2" t="s">
        <v>71</v>
      </c>
      <c r="E11" s="2" t="s">
        <v>26</v>
      </c>
      <c r="F11" s="2">
        <v>3</v>
      </c>
      <c r="G11" s="2">
        <v>0.06</v>
      </c>
      <c r="H11" s="2" t="s">
        <v>79</v>
      </c>
      <c r="I11" s="5">
        <v>135664.56</v>
      </c>
    </row>
    <row r="12" spans="1:9" x14ac:dyDescent="0.3">
      <c r="A12" s="2">
        <v>1011</v>
      </c>
      <c r="B12" s="2" t="s">
        <v>97</v>
      </c>
      <c r="C12" s="2" t="s">
        <v>98</v>
      </c>
      <c r="D12" s="2" t="s">
        <v>82</v>
      </c>
      <c r="E12" s="2" t="s">
        <v>17</v>
      </c>
      <c r="F12" s="2">
        <v>2</v>
      </c>
      <c r="G12" s="2">
        <v>0.03</v>
      </c>
      <c r="H12" s="2" t="s">
        <v>79</v>
      </c>
      <c r="I12" s="5">
        <v>70288.14</v>
      </c>
    </row>
    <row r="13" spans="1:9" x14ac:dyDescent="0.3">
      <c r="A13" s="2">
        <v>1012</v>
      </c>
      <c r="B13" s="2" t="s">
        <v>99</v>
      </c>
      <c r="C13" s="2" t="s">
        <v>100</v>
      </c>
      <c r="D13" s="2" t="s">
        <v>75</v>
      </c>
      <c r="E13" s="2" t="s">
        <v>29</v>
      </c>
      <c r="F13" s="2">
        <v>5</v>
      </c>
      <c r="G13" s="2">
        <v>0.03</v>
      </c>
      <c r="H13" s="2" t="s">
        <v>76</v>
      </c>
      <c r="I13" s="5">
        <v>262763.3</v>
      </c>
    </row>
    <row r="14" spans="1:9" x14ac:dyDescent="0.3">
      <c r="A14" s="2">
        <v>1013</v>
      </c>
      <c r="B14" s="2" t="s">
        <v>101</v>
      </c>
      <c r="C14" s="2" t="s">
        <v>102</v>
      </c>
      <c r="D14" s="2" t="s">
        <v>87</v>
      </c>
      <c r="E14" s="2" t="s">
        <v>14</v>
      </c>
      <c r="F14" s="2">
        <v>1</v>
      </c>
      <c r="G14" s="2">
        <v>0.13</v>
      </c>
      <c r="H14" s="2" t="s">
        <v>76</v>
      </c>
      <c r="I14" s="5">
        <v>47659.47</v>
      </c>
    </row>
    <row r="15" spans="1:9" x14ac:dyDescent="0.3">
      <c r="A15" s="2">
        <v>1014</v>
      </c>
      <c r="B15" s="2" t="s">
        <v>103</v>
      </c>
      <c r="C15" s="2" t="s">
        <v>104</v>
      </c>
      <c r="D15" s="2" t="s">
        <v>105</v>
      </c>
      <c r="E15" s="2" t="s">
        <v>50</v>
      </c>
      <c r="F15" s="2">
        <v>2</v>
      </c>
      <c r="G15" s="2">
        <v>0.08</v>
      </c>
      <c r="H15" s="2" t="s">
        <v>72</v>
      </c>
      <c r="I15" s="5">
        <v>71064.479999999996</v>
      </c>
    </row>
    <row r="16" spans="1:9" x14ac:dyDescent="0.3">
      <c r="A16" s="2">
        <v>1015</v>
      </c>
      <c r="B16" s="2" t="s">
        <v>106</v>
      </c>
      <c r="C16" s="2" t="s">
        <v>94</v>
      </c>
      <c r="D16" s="2" t="s">
        <v>82</v>
      </c>
      <c r="E16" s="2" t="s">
        <v>26</v>
      </c>
      <c r="F16" s="2">
        <v>1</v>
      </c>
      <c r="G16" s="2">
        <v>0.01</v>
      </c>
      <c r="H16" s="2" t="s">
        <v>72</v>
      </c>
      <c r="I16" s="5">
        <v>47626.92</v>
      </c>
    </row>
    <row r="17" spans="1:9" x14ac:dyDescent="0.3">
      <c r="A17" s="2">
        <v>1016</v>
      </c>
      <c r="B17" s="2" t="s">
        <v>107</v>
      </c>
      <c r="C17" s="2" t="s">
        <v>108</v>
      </c>
      <c r="D17" s="2" t="s">
        <v>82</v>
      </c>
      <c r="E17" s="2" t="s">
        <v>48</v>
      </c>
      <c r="F17" s="2">
        <v>1</v>
      </c>
      <c r="G17" s="2">
        <v>0.1</v>
      </c>
      <c r="H17" s="2" t="s">
        <v>76</v>
      </c>
      <c r="I17" s="5">
        <v>18092.7</v>
      </c>
    </row>
    <row r="18" spans="1:9" x14ac:dyDescent="0.3">
      <c r="A18" s="2">
        <v>1017</v>
      </c>
      <c r="B18" s="2" t="s">
        <v>109</v>
      </c>
      <c r="C18" s="2" t="s">
        <v>110</v>
      </c>
      <c r="D18" s="2" t="s">
        <v>71</v>
      </c>
      <c r="E18" s="2" t="s">
        <v>37</v>
      </c>
      <c r="F18" s="2">
        <v>1</v>
      </c>
      <c r="G18" s="2">
        <v>0.04</v>
      </c>
      <c r="H18" s="2" t="s">
        <v>84</v>
      </c>
      <c r="I18" s="5">
        <v>27512.639999999999</v>
      </c>
    </row>
    <row r="19" spans="1:9" x14ac:dyDescent="0.3">
      <c r="A19" s="2">
        <v>1018</v>
      </c>
      <c r="B19" s="2" t="s">
        <v>111</v>
      </c>
      <c r="C19" s="2" t="s">
        <v>74</v>
      </c>
      <c r="D19" s="2" t="s">
        <v>87</v>
      </c>
      <c r="E19" s="2" t="s">
        <v>45</v>
      </c>
      <c r="F19" s="2">
        <v>2</v>
      </c>
      <c r="G19" s="2">
        <v>0.04</v>
      </c>
      <c r="H19" s="2" t="s">
        <v>84</v>
      </c>
      <c r="I19" s="5">
        <v>104640</v>
      </c>
    </row>
    <row r="20" spans="1:9" x14ac:dyDescent="0.3">
      <c r="A20" s="2">
        <v>1019</v>
      </c>
      <c r="B20" s="2" t="s">
        <v>112</v>
      </c>
      <c r="C20" s="2" t="s">
        <v>74</v>
      </c>
      <c r="D20" s="2" t="s">
        <v>75</v>
      </c>
      <c r="E20" s="2" t="s">
        <v>17</v>
      </c>
      <c r="F20" s="2">
        <v>1</v>
      </c>
      <c r="G20" s="2">
        <v>0.1</v>
      </c>
      <c r="H20" s="2" t="s">
        <v>76</v>
      </c>
      <c r="I20" s="5">
        <v>32607.9</v>
      </c>
    </row>
    <row r="21" spans="1:9" x14ac:dyDescent="0.3">
      <c r="A21" s="2">
        <v>1020</v>
      </c>
      <c r="B21" s="2" t="s">
        <v>113</v>
      </c>
      <c r="C21" s="2" t="s">
        <v>104</v>
      </c>
      <c r="D21" s="2" t="s">
        <v>87</v>
      </c>
      <c r="E21" s="2" t="s">
        <v>45</v>
      </c>
      <c r="F21" s="2">
        <v>4</v>
      </c>
      <c r="G21" s="2">
        <v>7.0000000000000007E-2</v>
      </c>
      <c r="H21" s="2" t="s">
        <v>72</v>
      </c>
      <c r="I21" s="5">
        <v>202740</v>
      </c>
    </row>
    <row r="22" spans="1:9" x14ac:dyDescent="0.3">
      <c r="A22" s="2">
        <v>1021</v>
      </c>
      <c r="B22" s="2" t="s">
        <v>114</v>
      </c>
      <c r="C22" s="2" t="s">
        <v>70</v>
      </c>
      <c r="D22" s="2" t="s">
        <v>82</v>
      </c>
      <c r="E22" s="2" t="s">
        <v>7</v>
      </c>
      <c r="F22" s="2">
        <v>4</v>
      </c>
      <c r="G22" s="2">
        <v>0.04</v>
      </c>
      <c r="H22" s="2" t="s">
        <v>72</v>
      </c>
      <c r="I22" s="5">
        <v>104232.96000000001</v>
      </c>
    </row>
    <row r="23" spans="1:9" x14ac:dyDescent="0.3">
      <c r="A23" s="2">
        <v>1022</v>
      </c>
      <c r="B23" s="2" t="s">
        <v>115</v>
      </c>
      <c r="C23" s="2" t="s">
        <v>108</v>
      </c>
      <c r="D23" s="2" t="s">
        <v>71</v>
      </c>
      <c r="E23" s="2" t="s">
        <v>54</v>
      </c>
      <c r="F23" s="2">
        <v>4</v>
      </c>
      <c r="G23" s="2">
        <v>0.02</v>
      </c>
      <c r="H23" s="2" t="s">
        <v>79</v>
      </c>
      <c r="I23" s="5">
        <v>138058.48000000001</v>
      </c>
    </row>
    <row r="24" spans="1:9" x14ac:dyDescent="0.3">
      <c r="A24" s="2">
        <v>1023</v>
      </c>
      <c r="B24" s="2" t="s">
        <v>116</v>
      </c>
      <c r="C24" s="2" t="s">
        <v>102</v>
      </c>
      <c r="D24" s="2" t="s">
        <v>75</v>
      </c>
      <c r="E24" s="2" t="s">
        <v>54</v>
      </c>
      <c r="F24" s="2">
        <v>1</v>
      </c>
      <c r="G24" s="2">
        <v>0.11</v>
      </c>
      <c r="H24" s="2" t="s">
        <v>76</v>
      </c>
      <c r="I24" s="5">
        <v>31344.91</v>
      </c>
    </row>
    <row r="25" spans="1:9" x14ac:dyDescent="0.3">
      <c r="A25" s="2">
        <v>1024</v>
      </c>
      <c r="B25" s="2" t="s">
        <v>117</v>
      </c>
      <c r="C25" s="2" t="s">
        <v>100</v>
      </c>
      <c r="D25" s="2" t="s">
        <v>82</v>
      </c>
      <c r="E25" s="2" t="s">
        <v>52</v>
      </c>
      <c r="F25" s="2">
        <v>5</v>
      </c>
      <c r="G25" s="2">
        <v>0.02</v>
      </c>
      <c r="H25" s="2" t="s">
        <v>76</v>
      </c>
      <c r="I25" s="5">
        <v>134078.70000000001</v>
      </c>
    </row>
    <row r="26" spans="1:9" x14ac:dyDescent="0.3">
      <c r="A26" s="2">
        <v>1025</v>
      </c>
      <c r="B26" s="2" t="s">
        <v>118</v>
      </c>
      <c r="C26" s="2" t="s">
        <v>92</v>
      </c>
      <c r="D26" s="2" t="s">
        <v>75</v>
      </c>
      <c r="E26" s="2" t="s">
        <v>14</v>
      </c>
      <c r="F26" s="2">
        <v>2</v>
      </c>
      <c r="G26" s="2">
        <v>0.06</v>
      </c>
      <c r="H26" s="2" t="s">
        <v>84</v>
      </c>
      <c r="I26" s="5">
        <v>102988.28</v>
      </c>
    </row>
    <row r="27" spans="1:9" x14ac:dyDescent="0.3">
      <c r="A27" s="2">
        <v>1026</v>
      </c>
      <c r="B27" s="2" t="s">
        <v>119</v>
      </c>
      <c r="C27" s="2" t="s">
        <v>120</v>
      </c>
      <c r="D27" s="2" t="s">
        <v>90</v>
      </c>
      <c r="E27" s="2" t="s">
        <v>58</v>
      </c>
      <c r="F27" s="2">
        <v>1</v>
      </c>
      <c r="G27" s="2">
        <v>0.06</v>
      </c>
      <c r="H27" s="2" t="s">
        <v>79</v>
      </c>
      <c r="I27" s="5">
        <v>26335.040000000001</v>
      </c>
    </row>
    <row r="28" spans="1:9" x14ac:dyDescent="0.3">
      <c r="A28" s="2">
        <v>1027</v>
      </c>
      <c r="B28" s="2" t="s">
        <v>121</v>
      </c>
      <c r="C28" s="2" t="s">
        <v>122</v>
      </c>
      <c r="D28" s="2" t="s">
        <v>71</v>
      </c>
      <c r="E28" s="2" t="s">
        <v>37</v>
      </c>
      <c r="F28" s="2">
        <v>2</v>
      </c>
      <c r="G28" s="2">
        <v>0.04</v>
      </c>
      <c r="H28" s="2" t="s">
        <v>84</v>
      </c>
      <c r="I28" s="5">
        <v>55025.279999999999</v>
      </c>
    </row>
    <row r="29" spans="1:9" x14ac:dyDescent="0.3">
      <c r="A29" s="2">
        <v>1028</v>
      </c>
      <c r="B29" s="2" t="s">
        <v>123</v>
      </c>
      <c r="C29" s="2" t="s">
        <v>81</v>
      </c>
      <c r="D29" s="2" t="s">
        <v>82</v>
      </c>
      <c r="E29" s="2" t="s">
        <v>37</v>
      </c>
      <c r="F29" s="2">
        <v>1</v>
      </c>
      <c r="G29" s="2">
        <v>0</v>
      </c>
      <c r="H29" s="2" t="s">
        <v>76</v>
      </c>
      <c r="I29" s="5">
        <v>28659</v>
      </c>
    </row>
    <row r="30" spans="1:9" x14ac:dyDescent="0.3">
      <c r="A30" s="2">
        <v>1029</v>
      </c>
      <c r="B30" s="2" t="s">
        <v>124</v>
      </c>
      <c r="C30" s="2" t="s">
        <v>96</v>
      </c>
      <c r="D30" s="2" t="s">
        <v>87</v>
      </c>
      <c r="E30" s="2" t="s">
        <v>52</v>
      </c>
      <c r="F30" s="2">
        <v>3</v>
      </c>
      <c r="G30" s="2">
        <v>0.02</v>
      </c>
      <c r="H30" s="2" t="s">
        <v>79</v>
      </c>
      <c r="I30" s="5">
        <v>80447.22</v>
      </c>
    </row>
    <row r="31" spans="1:9" x14ac:dyDescent="0.3">
      <c r="A31" s="2">
        <v>1030</v>
      </c>
      <c r="B31" s="2" t="s">
        <v>125</v>
      </c>
      <c r="C31" s="2" t="s">
        <v>104</v>
      </c>
      <c r="D31" s="2" t="s">
        <v>105</v>
      </c>
      <c r="E31" s="2" t="s">
        <v>35</v>
      </c>
      <c r="F31" s="2">
        <v>2</v>
      </c>
      <c r="G31" s="2">
        <v>7.0000000000000007E-2</v>
      </c>
      <c r="H31" s="2" t="s">
        <v>79</v>
      </c>
      <c r="I31" s="5">
        <v>61856.160000000003</v>
      </c>
    </row>
    <row r="32" spans="1:9" x14ac:dyDescent="0.3">
      <c r="A32" s="2">
        <v>1031</v>
      </c>
      <c r="B32" s="2" t="s">
        <v>126</v>
      </c>
      <c r="C32" s="2" t="s">
        <v>98</v>
      </c>
      <c r="D32" s="2" t="s">
        <v>90</v>
      </c>
      <c r="E32" s="2" t="s">
        <v>54</v>
      </c>
      <c r="F32" s="2">
        <v>3</v>
      </c>
      <c r="G32" s="2">
        <v>0.14000000000000001</v>
      </c>
      <c r="H32" s="2" t="s">
        <v>76</v>
      </c>
      <c r="I32" s="5">
        <v>90865.02</v>
      </c>
    </row>
    <row r="33" spans="1:9" x14ac:dyDescent="0.3">
      <c r="A33" s="2">
        <v>1032</v>
      </c>
      <c r="B33" s="2" t="s">
        <v>127</v>
      </c>
      <c r="C33" s="2" t="s">
        <v>128</v>
      </c>
      <c r="D33" s="2" t="s">
        <v>90</v>
      </c>
      <c r="E33" s="2" t="s">
        <v>17</v>
      </c>
      <c r="F33" s="2">
        <v>5</v>
      </c>
      <c r="G33" s="2">
        <v>0.02</v>
      </c>
      <c r="H33" s="2" t="s">
        <v>79</v>
      </c>
      <c r="I33" s="5">
        <v>177531.9</v>
      </c>
    </row>
    <row r="34" spans="1:9" x14ac:dyDescent="0.3">
      <c r="A34" s="2">
        <v>1033</v>
      </c>
      <c r="B34" s="2" t="s">
        <v>129</v>
      </c>
      <c r="C34" s="2" t="s">
        <v>122</v>
      </c>
      <c r="D34" s="2" t="s">
        <v>71</v>
      </c>
      <c r="E34" s="2" t="s">
        <v>37</v>
      </c>
      <c r="F34" s="2">
        <v>2</v>
      </c>
      <c r="G34" s="2">
        <v>0.1</v>
      </c>
      <c r="H34" s="2" t="s">
        <v>79</v>
      </c>
      <c r="I34" s="5">
        <v>51586.2</v>
      </c>
    </row>
    <row r="35" spans="1:9" x14ac:dyDescent="0.3">
      <c r="A35" s="2">
        <v>1034</v>
      </c>
      <c r="B35" s="2" t="s">
        <v>130</v>
      </c>
      <c r="C35" s="2" t="s">
        <v>94</v>
      </c>
      <c r="D35" s="2" t="s">
        <v>105</v>
      </c>
      <c r="E35" s="2" t="s">
        <v>11</v>
      </c>
      <c r="F35" s="2">
        <v>1</v>
      </c>
      <c r="G35" s="2">
        <v>0.1</v>
      </c>
      <c r="H35" s="2" t="s">
        <v>79</v>
      </c>
      <c r="I35" s="5">
        <v>17956.8</v>
      </c>
    </row>
    <row r="36" spans="1:9" x14ac:dyDescent="0.3">
      <c r="A36" s="2">
        <v>1035</v>
      </c>
      <c r="B36" s="2" t="s">
        <v>131</v>
      </c>
      <c r="C36" s="2" t="s">
        <v>89</v>
      </c>
      <c r="D36" s="2" t="s">
        <v>105</v>
      </c>
      <c r="E36" s="2" t="s">
        <v>20</v>
      </c>
      <c r="F36" s="2">
        <v>3</v>
      </c>
      <c r="G36" s="2">
        <v>0.02</v>
      </c>
      <c r="H36" s="2" t="s">
        <v>72</v>
      </c>
      <c r="I36" s="5">
        <v>82875.66</v>
      </c>
    </row>
    <row r="37" spans="1:9" x14ac:dyDescent="0.3">
      <c r="A37" s="2">
        <v>1036</v>
      </c>
      <c r="B37" s="2" t="s">
        <v>132</v>
      </c>
      <c r="C37" s="2" t="s">
        <v>108</v>
      </c>
      <c r="D37" s="2" t="s">
        <v>75</v>
      </c>
      <c r="E37" s="2" t="s">
        <v>7</v>
      </c>
      <c r="F37" s="2">
        <v>1</v>
      </c>
      <c r="G37" s="2">
        <v>0.01</v>
      </c>
      <c r="H37" s="2" t="s">
        <v>84</v>
      </c>
      <c r="I37" s="5">
        <v>26872.560000000001</v>
      </c>
    </row>
    <row r="38" spans="1:9" x14ac:dyDescent="0.3">
      <c r="A38" s="2">
        <v>1037</v>
      </c>
      <c r="B38" s="2" t="s">
        <v>133</v>
      </c>
      <c r="C38" s="2" t="s">
        <v>102</v>
      </c>
      <c r="D38" s="2" t="s">
        <v>105</v>
      </c>
      <c r="E38" s="2" t="s">
        <v>56</v>
      </c>
      <c r="F38" s="2">
        <v>5</v>
      </c>
      <c r="G38" s="2">
        <v>0.02</v>
      </c>
      <c r="H38" s="2" t="s">
        <v>84</v>
      </c>
      <c r="I38" s="5">
        <v>158627.70000000001</v>
      </c>
    </row>
    <row r="39" spans="1:9" x14ac:dyDescent="0.3">
      <c r="A39" s="2">
        <v>1038</v>
      </c>
      <c r="B39" s="2" t="s">
        <v>134</v>
      </c>
      <c r="C39" s="2" t="s">
        <v>81</v>
      </c>
      <c r="D39" s="2" t="s">
        <v>105</v>
      </c>
      <c r="E39" s="2" t="s">
        <v>11</v>
      </c>
      <c r="F39" s="2">
        <v>3</v>
      </c>
      <c r="G39" s="2">
        <v>0.03</v>
      </c>
      <c r="H39" s="2" t="s">
        <v>84</v>
      </c>
      <c r="I39" s="5">
        <v>58060.32</v>
      </c>
    </row>
    <row r="40" spans="1:9" x14ac:dyDescent="0.3">
      <c r="A40" s="2">
        <v>1039</v>
      </c>
      <c r="B40" s="2" t="s">
        <v>135</v>
      </c>
      <c r="C40" s="2" t="s">
        <v>78</v>
      </c>
      <c r="D40" s="2" t="s">
        <v>105</v>
      </c>
      <c r="E40" s="2" t="s">
        <v>54</v>
      </c>
      <c r="F40" s="2">
        <v>4</v>
      </c>
      <c r="G40" s="2">
        <v>0.15</v>
      </c>
      <c r="H40" s="2" t="s">
        <v>84</v>
      </c>
      <c r="I40" s="5">
        <v>119744.6</v>
      </c>
    </row>
    <row r="41" spans="1:9" x14ac:dyDescent="0.3">
      <c r="A41" s="2">
        <v>1040</v>
      </c>
      <c r="B41" s="2" t="s">
        <v>136</v>
      </c>
      <c r="C41" s="2" t="s">
        <v>70</v>
      </c>
      <c r="D41" s="2" t="s">
        <v>87</v>
      </c>
      <c r="E41" s="2" t="s">
        <v>45</v>
      </c>
      <c r="F41" s="2">
        <v>1</v>
      </c>
      <c r="G41" s="2">
        <v>0.03</v>
      </c>
      <c r="H41" s="2" t="s">
        <v>79</v>
      </c>
      <c r="I41" s="5">
        <v>52865</v>
      </c>
    </row>
    <row r="42" spans="1:9" x14ac:dyDescent="0.3">
      <c r="A42" s="2">
        <v>1041</v>
      </c>
      <c r="B42" s="2" t="s">
        <v>137</v>
      </c>
      <c r="C42" s="2" t="s">
        <v>104</v>
      </c>
      <c r="D42" s="2" t="s">
        <v>105</v>
      </c>
      <c r="E42" s="2" t="s">
        <v>23</v>
      </c>
      <c r="F42" s="2">
        <v>1</v>
      </c>
      <c r="G42" s="2">
        <v>0.06</v>
      </c>
      <c r="H42" s="2" t="s">
        <v>76</v>
      </c>
      <c r="I42" s="5">
        <v>39034.44</v>
      </c>
    </row>
    <row r="43" spans="1:9" x14ac:dyDescent="0.3">
      <c r="A43" s="2">
        <v>1042</v>
      </c>
      <c r="B43" s="2" t="s">
        <v>138</v>
      </c>
      <c r="C43" s="2" t="s">
        <v>104</v>
      </c>
      <c r="D43" s="2" t="s">
        <v>87</v>
      </c>
      <c r="E43" s="2" t="s">
        <v>48</v>
      </c>
      <c r="F43" s="2">
        <v>3</v>
      </c>
      <c r="G43" s="2">
        <v>0.05</v>
      </c>
      <c r="H43" s="2" t="s">
        <v>84</v>
      </c>
      <c r="I43" s="5">
        <v>57293.55</v>
      </c>
    </row>
    <row r="44" spans="1:9" x14ac:dyDescent="0.3">
      <c r="A44" s="2">
        <v>1043</v>
      </c>
      <c r="B44" s="2" t="s">
        <v>139</v>
      </c>
      <c r="C44" s="2" t="s">
        <v>89</v>
      </c>
      <c r="D44" s="2" t="s">
        <v>71</v>
      </c>
      <c r="E44" s="2" t="s">
        <v>26</v>
      </c>
      <c r="F44" s="2">
        <v>4</v>
      </c>
      <c r="G44" s="2">
        <v>0.05</v>
      </c>
      <c r="H44" s="2" t="s">
        <v>76</v>
      </c>
      <c r="I44" s="5">
        <v>182810.4</v>
      </c>
    </row>
    <row r="45" spans="1:9" x14ac:dyDescent="0.3">
      <c r="A45" s="2">
        <v>1044</v>
      </c>
      <c r="B45" s="2" t="s">
        <v>140</v>
      </c>
      <c r="C45" s="2" t="s">
        <v>86</v>
      </c>
      <c r="D45" s="2" t="s">
        <v>71</v>
      </c>
      <c r="E45" s="2" t="s">
        <v>52</v>
      </c>
      <c r="F45" s="2">
        <v>4</v>
      </c>
      <c r="G45" s="2">
        <v>0.1</v>
      </c>
      <c r="H45" s="2" t="s">
        <v>79</v>
      </c>
      <c r="I45" s="5">
        <v>98506.8</v>
      </c>
    </row>
    <row r="46" spans="1:9" x14ac:dyDescent="0.3">
      <c r="A46" s="2">
        <v>1045</v>
      </c>
      <c r="B46" s="2" t="s">
        <v>141</v>
      </c>
      <c r="C46" s="2" t="s">
        <v>78</v>
      </c>
      <c r="D46" s="2" t="s">
        <v>105</v>
      </c>
      <c r="E46" s="2" t="s">
        <v>23</v>
      </c>
      <c r="F46" s="2">
        <v>5</v>
      </c>
      <c r="G46" s="2">
        <v>0.14000000000000001</v>
      </c>
      <c r="H46" s="2" t="s">
        <v>79</v>
      </c>
      <c r="I46" s="5">
        <v>178561.8</v>
      </c>
    </row>
    <row r="47" spans="1:9" x14ac:dyDescent="0.3">
      <c r="A47" s="2">
        <v>1046</v>
      </c>
      <c r="B47" s="2" t="s">
        <v>142</v>
      </c>
      <c r="C47" s="2" t="s">
        <v>78</v>
      </c>
      <c r="D47" s="2" t="s">
        <v>75</v>
      </c>
      <c r="E47" s="2" t="s">
        <v>45</v>
      </c>
      <c r="F47" s="2">
        <v>3</v>
      </c>
      <c r="G47" s="2">
        <v>0.11</v>
      </c>
      <c r="H47" s="2" t="s">
        <v>79</v>
      </c>
      <c r="I47" s="5">
        <v>145515</v>
      </c>
    </row>
    <row r="48" spans="1:9" x14ac:dyDescent="0.3">
      <c r="A48" s="2">
        <v>1047</v>
      </c>
      <c r="B48" s="2" t="s">
        <v>143</v>
      </c>
      <c r="C48" s="2" t="s">
        <v>120</v>
      </c>
      <c r="D48" s="2" t="s">
        <v>75</v>
      </c>
      <c r="E48" s="2" t="s">
        <v>17</v>
      </c>
      <c r="F48" s="2">
        <v>4</v>
      </c>
      <c r="G48" s="2">
        <v>0.13</v>
      </c>
      <c r="H48" s="2" t="s">
        <v>84</v>
      </c>
      <c r="I48" s="5">
        <v>126083.88</v>
      </c>
    </row>
    <row r="49" spans="1:9" x14ac:dyDescent="0.3">
      <c r="A49" s="2">
        <v>1048</v>
      </c>
      <c r="B49" s="2" t="s">
        <v>144</v>
      </c>
      <c r="C49" s="2" t="s">
        <v>102</v>
      </c>
      <c r="D49" s="2" t="s">
        <v>71</v>
      </c>
      <c r="E49" s="2" t="s">
        <v>45</v>
      </c>
      <c r="F49" s="2">
        <v>1</v>
      </c>
      <c r="G49" s="2">
        <v>0.08</v>
      </c>
      <c r="H49" s="2" t="s">
        <v>84</v>
      </c>
      <c r="I49" s="5">
        <v>50140</v>
      </c>
    </row>
    <row r="50" spans="1:9" x14ac:dyDescent="0.3">
      <c r="A50" s="2">
        <v>1049</v>
      </c>
      <c r="B50" s="2" t="s">
        <v>145</v>
      </c>
      <c r="C50" s="2" t="s">
        <v>108</v>
      </c>
      <c r="D50" s="2" t="s">
        <v>90</v>
      </c>
      <c r="E50" s="2" t="s">
        <v>37</v>
      </c>
      <c r="F50" s="2">
        <v>5</v>
      </c>
      <c r="G50" s="2">
        <v>0.05</v>
      </c>
      <c r="H50" s="2" t="s">
        <v>76</v>
      </c>
      <c r="I50" s="5">
        <v>136130.25</v>
      </c>
    </row>
    <row r="51" spans="1:9" x14ac:dyDescent="0.3">
      <c r="A51" s="2">
        <v>1050</v>
      </c>
      <c r="B51" s="2" t="s">
        <v>146</v>
      </c>
      <c r="C51" s="2" t="s">
        <v>98</v>
      </c>
      <c r="D51" s="2" t="s">
        <v>105</v>
      </c>
      <c r="E51" s="2" t="s">
        <v>45</v>
      </c>
      <c r="F51" s="2">
        <v>3</v>
      </c>
      <c r="G51" s="2">
        <v>0.06</v>
      </c>
      <c r="H51" s="2" t="s">
        <v>79</v>
      </c>
      <c r="I51" s="5">
        <v>153690</v>
      </c>
    </row>
    <row r="52" spans="1:9" x14ac:dyDescent="0.3">
      <c r="A52" s="2">
        <v>1051</v>
      </c>
      <c r="B52" s="2" t="s">
        <v>147</v>
      </c>
      <c r="C52" s="2" t="s">
        <v>148</v>
      </c>
      <c r="D52" s="2" t="s">
        <v>87</v>
      </c>
      <c r="E52" s="2" t="s">
        <v>45</v>
      </c>
      <c r="F52" s="2">
        <v>4</v>
      </c>
      <c r="G52" s="2">
        <v>0.1</v>
      </c>
      <c r="H52" s="2" t="s">
        <v>84</v>
      </c>
      <c r="I52" s="5">
        <v>196200</v>
      </c>
    </row>
    <row r="53" spans="1:9" x14ac:dyDescent="0.3">
      <c r="A53" s="2">
        <v>1052</v>
      </c>
      <c r="B53" s="2" t="s">
        <v>149</v>
      </c>
      <c r="C53" s="2" t="s">
        <v>100</v>
      </c>
      <c r="D53" s="2" t="s">
        <v>105</v>
      </c>
      <c r="E53" s="2" t="s">
        <v>42</v>
      </c>
      <c r="F53" s="2">
        <v>5</v>
      </c>
      <c r="G53" s="2">
        <v>0.13</v>
      </c>
      <c r="H53" s="2" t="s">
        <v>79</v>
      </c>
      <c r="I53" s="5">
        <v>210078.9</v>
      </c>
    </row>
    <row r="54" spans="1:9" x14ac:dyDescent="0.3">
      <c r="A54" s="2">
        <v>1053</v>
      </c>
      <c r="B54" s="2" t="s">
        <v>150</v>
      </c>
      <c r="C54" s="2" t="s">
        <v>122</v>
      </c>
      <c r="D54" s="2" t="s">
        <v>82</v>
      </c>
      <c r="E54" s="2" t="s">
        <v>56</v>
      </c>
      <c r="F54" s="2">
        <v>5</v>
      </c>
      <c r="G54" s="2">
        <v>0.1</v>
      </c>
      <c r="H54" s="2" t="s">
        <v>72</v>
      </c>
      <c r="I54" s="5">
        <v>145678.5</v>
      </c>
    </row>
    <row r="55" spans="1:9" x14ac:dyDescent="0.3">
      <c r="A55" s="2">
        <v>1054</v>
      </c>
      <c r="B55" s="2" t="s">
        <v>151</v>
      </c>
      <c r="C55" s="2" t="s">
        <v>74</v>
      </c>
      <c r="D55" s="2" t="s">
        <v>71</v>
      </c>
      <c r="E55" s="2" t="s">
        <v>26</v>
      </c>
      <c r="F55" s="2">
        <v>5</v>
      </c>
      <c r="G55" s="2">
        <v>7.0000000000000007E-2</v>
      </c>
      <c r="H55" s="2" t="s">
        <v>84</v>
      </c>
      <c r="I55" s="5">
        <v>223702.2</v>
      </c>
    </row>
    <row r="56" spans="1:9" x14ac:dyDescent="0.3">
      <c r="A56" s="2">
        <v>1055</v>
      </c>
      <c r="B56" s="2" t="s">
        <v>152</v>
      </c>
      <c r="C56" s="2" t="s">
        <v>92</v>
      </c>
      <c r="D56" s="2" t="s">
        <v>105</v>
      </c>
      <c r="E56" s="2" t="s">
        <v>52</v>
      </c>
      <c r="F56" s="2">
        <v>5</v>
      </c>
      <c r="G56" s="2">
        <v>0.05</v>
      </c>
      <c r="H56" s="2" t="s">
        <v>84</v>
      </c>
      <c r="I56" s="5">
        <v>129974.25</v>
      </c>
    </row>
    <row r="57" spans="1:9" x14ac:dyDescent="0.3">
      <c r="A57" s="2">
        <v>1056</v>
      </c>
      <c r="B57" s="2" t="s">
        <v>153</v>
      </c>
      <c r="C57" s="2" t="s">
        <v>81</v>
      </c>
      <c r="D57" s="2" t="s">
        <v>87</v>
      </c>
      <c r="E57" s="2" t="s">
        <v>26</v>
      </c>
      <c r="F57" s="2">
        <v>2</v>
      </c>
      <c r="G57" s="2">
        <v>0</v>
      </c>
      <c r="H57" s="2" t="s">
        <v>84</v>
      </c>
      <c r="I57" s="5">
        <v>96216</v>
      </c>
    </row>
    <row r="58" spans="1:9" x14ac:dyDescent="0.3">
      <c r="A58" s="2">
        <v>1057</v>
      </c>
      <c r="B58" s="2" t="s">
        <v>154</v>
      </c>
      <c r="C58" s="2" t="s">
        <v>120</v>
      </c>
      <c r="D58" s="2" t="s">
        <v>90</v>
      </c>
      <c r="E58" s="2" t="s">
        <v>48</v>
      </c>
      <c r="F58" s="2">
        <v>4</v>
      </c>
      <c r="G58" s="2">
        <v>0.13</v>
      </c>
      <c r="H58" s="2" t="s">
        <v>84</v>
      </c>
      <c r="I58" s="5">
        <v>69958.44</v>
      </c>
    </row>
    <row r="59" spans="1:9" x14ac:dyDescent="0.3">
      <c r="A59" s="2">
        <v>1058</v>
      </c>
      <c r="B59" s="2" t="s">
        <v>155</v>
      </c>
      <c r="C59" s="2" t="s">
        <v>110</v>
      </c>
      <c r="D59" s="2" t="s">
        <v>82</v>
      </c>
      <c r="E59" s="2" t="s">
        <v>42</v>
      </c>
      <c r="F59" s="2">
        <v>2</v>
      </c>
      <c r="G59" s="2">
        <v>0.02</v>
      </c>
      <c r="H59" s="2" t="s">
        <v>76</v>
      </c>
      <c r="I59" s="5">
        <v>94656.24</v>
      </c>
    </row>
    <row r="60" spans="1:9" x14ac:dyDescent="0.3">
      <c r="A60" s="2">
        <v>1059</v>
      </c>
      <c r="B60" s="2" t="s">
        <v>156</v>
      </c>
      <c r="C60" s="2" t="s">
        <v>108</v>
      </c>
      <c r="D60" s="2" t="s">
        <v>87</v>
      </c>
      <c r="E60" s="2" t="s">
        <v>23</v>
      </c>
      <c r="F60" s="2">
        <v>5</v>
      </c>
      <c r="G60" s="2">
        <v>7.0000000000000007E-2</v>
      </c>
      <c r="H60" s="2" t="s">
        <v>84</v>
      </c>
      <c r="I60" s="5">
        <v>193095.9</v>
      </c>
    </row>
    <row r="61" spans="1:9" x14ac:dyDescent="0.3">
      <c r="A61" s="2">
        <v>1060</v>
      </c>
      <c r="B61" s="2" t="s">
        <v>157</v>
      </c>
      <c r="C61" s="2" t="s">
        <v>74</v>
      </c>
      <c r="D61" s="2" t="s">
        <v>87</v>
      </c>
      <c r="E61" s="2" t="s">
        <v>48</v>
      </c>
      <c r="F61" s="2">
        <v>5</v>
      </c>
      <c r="G61" s="2">
        <v>0.15</v>
      </c>
      <c r="H61" s="2" t="s">
        <v>79</v>
      </c>
      <c r="I61" s="5">
        <v>85437.75</v>
      </c>
    </row>
    <row r="62" spans="1:9" x14ac:dyDescent="0.3">
      <c r="A62" s="2">
        <v>1061</v>
      </c>
      <c r="B62" s="2" t="s">
        <v>158</v>
      </c>
      <c r="C62" s="2" t="s">
        <v>120</v>
      </c>
      <c r="D62" s="2" t="s">
        <v>71</v>
      </c>
      <c r="E62" s="2" t="s">
        <v>52</v>
      </c>
      <c r="F62" s="2">
        <v>4</v>
      </c>
      <c r="G62" s="2">
        <v>0.12</v>
      </c>
      <c r="H62" s="2" t="s">
        <v>72</v>
      </c>
      <c r="I62" s="5">
        <v>96317.759999999995</v>
      </c>
    </row>
    <row r="63" spans="1:9" x14ac:dyDescent="0.3">
      <c r="A63" s="2">
        <v>1062</v>
      </c>
      <c r="B63" s="2" t="s">
        <v>159</v>
      </c>
      <c r="C63" s="2" t="s">
        <v>94</v>
      </c>
      <c r="D63" s="2" t="s">
        <v>82</v>
      </c>
      <c r="E63" s="2" t="s">
        <v>32</v>
      </c>
      <c r="F63" s="2">
        <v>2</v>
      </c>
      <c r="G63" s="2">
        <v>0.13</v>
      </c>
      <c r="H63" s="2" t="s">
        <v>79</v>
      </c>
      <c r="I63" s="5">
        <v>53245.74</v>
      </c>
    </row>
    <row r="64" spans="1:9" x14ac:dyDescent="0.3">
      <c r="A64" s="2">
        <v>1063</v>
      </c>
      <c r="B64" s="2" t="s">
        <v>160</v>
      </c>
      <c r="C64" s="2" t="s">
        <v>94</v>
      </c>
      <c r="D64" s="2" t="s">
        <v>71</v>
      </c>
      <c r="E64" s="2" t="s">
        <v>29</v>
      </c>
      <c r="F64" s="2">
        <v>3</v>
      </c>
      <c r="G64" s="2">
        <v>7.0000000000000007E-2</v>
      </c>
      <c r="H64" s="2" t="s">
        <v>79</v>
      </c>
      <c r="I64" s="5">
        <v>151156.62</v>
      </c>
    </row>
    <row r="65" spans="1:9" x14ac:dyDescent="0.3">
      <c r="A65" s="2">
        <v>1064</v>
      </c>
      <c r="B65" s="2" t="s">
        <v>161</v>
      </c>
      <c r="C65" s="2" t="s">
        <v>128</v>
      </c>
      <c r="D65" s="2" t="s">
        <v>105</v>
      </c>
      <c r="E65" s="2" t="s">
        <v>37</v>
      </c>
      <c r="F65" s="2">
        <v>5</v>
      </c>
      <c r="G65" s="2">
        <v>0.01</v>
      </c>
      <c r="H65" s="2" t="s">
        <v>84</v>
      </c>
      <c r="I65" s="5">
        <v>141862.04999999999</v>
      </c>
    </row>
    <row r="66" spans="1:9" x14ac:dyDescent="0.3">
      <c r="A66" s="2">
        <v>1065</v>
      </c>
      <c r="B66" s="2" t="s">
        <v>162</v>
      </c>
      <c r="C66" s="2" t="s">
        <v>110</v>
      </c>
      <c r="D66" s="2" t="s">
        <v>71</v>
      </c>
      <c r="E66" s="2" t="s">
        <v>20</v>
      </c>
      <c r="F66" s="2">
        <v>2</v>
      </c>
      <c r="G66" s="2">
        <v>0.01</v>
      </c>
      <c r="H66" s="2" t="s">
        <v>72</v>
      </c>
      <c r="I66" s="5">
        <v>55814.22</v>
      </c>
    </row>
    <row r="67" spans="1:9" x14ac:dyDescent="0.3">
      <c r="A67" s="2">
        <v>1066</v>
      </c>
      <c r="B67" s="2" t="s">
        <v>163</v>
      </c>
      <c r="C67" s="2" t="s">
        <v>96</v>
      </c>
      <c r="D67" s="2" t="s">
        <v>82</v>
      </c>
      <c r="E67" s="2" t="s">
        <v>45</v>
      </c>
      <c r="F67" s="2">
        <v>1</v>
      </c>
      <c r="G67" s="2">
        <v>0.03</v>
      </c>
      <c r="H67" s="2" t="s">
        <v>72</v>
      </c>
      <c r="I67" s="5">
        <v>52865</v>
      </c>
    </row>
    <row r="68" spans="1:9" x14ac:dyDescent="0.3">
      <c r="A68" s="2">
        <v>1067</v>
      </c>
      <c r="B68" s="2" t="s">
        <v>164</v>
      </c>
      <c r="C68" s="2" t="s">
        <v>100</v>
      </c>
      <c r="D68" s="2" t="s">
        <v>71</v>
      </c>
      <c r="E68" s="2" t="s">
        <v>7</v>
      </c>
      <c r="F68" s="2">
        <v>5</v>
      </c>
      <c r="G68" s="2">
        <v>0.06</v>
      </c>
      <c r="H68" s="2" t="s">
        <v>76</v>
      </c>
      <c r="I68" s="5">
        <v>127576.8</v>
      </c>
    </row>
    <row r="69" spans="1:9" x14ac:dyDescent="0.3">
      <c r="A69" s="2">
        <v>1068</v>
      </c>
      <c r="B69" s="2" t="s">
        <v>165</v>
      </c>
      <c r="C69" s="2" t="s">
        <v>81</v>
      </c>
      <c r="D69" s="2" t="s">
        <v>82</v>
      </c>
      <c r="E69" s="2" t="s">
        <v>45</v>
      </c>
      <c r="F69" s="2">
        <v>5</v>
      </c>
      <c r="G69" s="2">
        <v>0.11</v>
      </c>
      <c r="H69" s="2" t="s">
        <v>84</v>
      </c>
      <c r="I69" s="5">
        <v>242525</v>
      </c>
    </row>
    <row r="70" spans="1:9" x14ac:dyDescent="0.3">
      <c r="A70" s="2">
        <v>1069</v>
      </c>
      <c r="B70" s="2" t="s">
        <v>166</v>
      </c>
      <c r="C70" s="2" t="s">
        <v>104</v>
      </c>
      <c r="D70" s="2" t="s">
        <v>105</v>
      </c>
      <c r="E70" s="2" t="s">
        <v>45</v>
      </c>
      <c r="F70" s="2">
        <v>4</v>
      </c>
      <c r="G70" s="2">
        <v>0</v>
      </c>
      <c r="H70" s="2" t="s">
        <v>79</v>
      </c>
      <c r="I70" s="5">
        <v>218000</v>
      </c>
    </row>
    <row r="71" spans="1:9" x14ac:dyDescent="0.3">
      <c r="A71" s="2">
        <v>1070</v>
      </c>
      <c r="B71" s="2" t="s">
        <v>167</v>
      </c>
      <c r="C71" s="2" t="s">
        <v>110</v>
      </c>
      <c r="D71" s="2" t="s">
        <v>71</v>
      </c>
      <c r="E71" s="2" t="s">
        <v>23</v>
      </c>
      <c r="F71" s="2">
        <v>4</v>
      </c>
      <c r="G71" s="2">
        <v>0.14000000000000001</v>
      </c>
      <c r="H71" s="2" t="s">
        <v>76</v>
      </c>
      <c r="I71" s="5">
        <v>142849.44</v>
      </c>
    </row>
    <row r="72" spans="1:9" x14ac:dyDescent="0.3">
      <c r="A72" s="2">
        <v>1071</v>
      </c>
      <c r="B72" s="2" t="s">
        <v>168</v>
      </c>
      <c r="C72" s="2" t="s">
        <v>100</v>
      </c>
      <c r="D72" s="2" t="s">
        <v>75</v>
      </c>
      <c r="E72" s="2" t="s">
        <v>7</v>
      </c>
      <c r="F72" s="2">
        <v>1</v>
      </c>
      <c r="G72" s="2">
        <v>0.1</v>
      </c>
      <c r="H72" s="2" t="s">
        <v>84</v>
      </c>
      <c r="I72" s="5">
        <v>24429.599999999999</v>
      </c>
    </row>
    <row r="73" spans="1:9" x14ac:dyDescent="0.3">
      <c r="A73" s="2">
        <v>1072</v>
      </c>
      <c r="B73" s="2" t="s">
        <v>169</v>
      </c>
      <c r="C73" s="2" t="s">
        <v>70</v>
      </c>
      <c r="D73" s="2" t="s">
        <v>90</v>
      </c>
      <c r="E73" s="2" t="s">
        <v>32</v>
      </c>
      <c r="F73" s="2">
        <v>4</v>
      </c>
      <c r="G73" s="2">
        <v>0.05</v>
      </c>
      <c r="H73" s="2" t="s">
        <v>72</v>
      </c>
      <c r="I73" s="5">
        <v>116283.8</v>
      </c>
    </row>
    <row r="74" spans="1:9" x14ac:dyDescent="0.3">
      <c r="A74" s="2">
        <v>1073</v>
      </c>
      <c r="B74" s="2" t="s">
        <v>170</v>
      </c>
      <c r="C74" s="2" t="s">
        <v>171</v>
      </c>
      <c r="D74" s="2" t="s">
        <v>82</v>
      </c>
      <c r="E74" s="2" t="s">
        <v>32</v>
      </c>
      <c r="F74" s="2">
        <v>4</v>
      </c>
      <c r="G74" s="2">
        <v>0.04</v>
      </c>
      <c r="H74" s="2" t="s">
        <v>76</v>
      </c>
      <c r="I74" s="5">
        <v>117507.84</v>
      </c>
    </row>
    <row r="75" spans="1:9" x14ac:dyDescent="0.3">
      <c r="A75" s="2">
        <v>1074</v>
      </c>
      <c r="B75" s="2" t="s">
        <v>138</v>
      </c>
      <c r="C75" s="2" t="s">
        <v>89</v>
      </c>
      <c r="D75" s="2" t="s">
        <v>71</v>
      </c>
      <c r="E75" s="2" t="s">
        <v>54</v>
      </c>
      <c r="F75" s="2">
        <v>1</v>
      </c>
      <c r="G75" s="2">
        <v>0.15</v>
      </c>
      <c r="H75" s="2" t="s">
        <v>79</v>
      </c>
      <c r="I75" s="5">
        <v>29936.15</v>
      </c>
    </row>
    <row r="76" spans="1:9" x14ac:dyDescent="0.3">
      <c r="A76" s="2">
        <v>1075</v>
      </c>
      <c r="B76" s="2" t="s">
        <v>172</v>
      </c>
      <c r="C76" s="2" t="s">
        <v>92</v>
      </c>
      <c r="D76" s="2" t="s">
        <v>71</v>
      </c>
      <c r="E76" s="2" t="s">
        <v>11</v>
      </c>
      <c r="F76" s="2">
        <v>1</v>
      </c>
      <c r="G76" s="2">
        <v>0.14000000000000001</v>
      </c>
      <c r="H76" s="2" t="s">
        <v>84</v>
      </c>
      <c r="I76" s="5">
        <v>17158.72</v>
      </c>
    </row>
    <row r="77" spans="1:9" x14ac:dyDescent="0.3">
      <c r="A77" s="2">
        <v>1076</v>
      </c>
      <c r="B77" s="2" t="s">
        <v>173</v>
      </c>
      <c r="C77" s="2" t="s">
        <v>120</v>
      </c>
      <c r="D77" s="2" t="s">
        <v>87</v>
      </c>
      <c r="E77" s="2" t="s">
        <v>29</v>
      </c>
      <c r="F77" s="2">
        <v>2</v>
      </c>
      <c r="G77" s="2">
        <v>7.0000000000000007E-2</v>
      </c>
      <c r="H77" s="2" t="s">
        <v>76</v>
      </c>
      <c r="I77" s="5">
        <v>100771.08</v>
      </c>
    </row>
    <row r="78" spans="1:9" x14ac:dyDescent="0.3">
      <c r="A78" s="2">
        <v>1077</v>
      </c>
      <c r="B78" s="2" t="s">
        <v>174</v>
      </c>
      <c r="C78" s="2" t="s">
        <v>122</v>
      </c>
      <c r="D78" s="2" t="s">
        <v>82</v>
      </c>
      <c r="E78" s="2" t="s">
        <v>32</v>
      </c>
      <c r="F78" s="2">
        <v>3</v>
      </c>
      <c r="G78" s="2">
        <v>0.03</v>
      </c>
      <c r="H78" s="2" t="s">
        <v>76</v>
      </c>
      <c r="I78" s="5">
        <v>89048.91</v>
      </c>
    </row>
    <row r="79" spans="1:9" x14ac:dyDescent="0.3">
      <c r="A79" s="2">
        <v>1078</v>
      </c>
      <c r="B79" s="2" t="s">
        <v>175</v>
      </c>
      <c r="C79" s="2" t="s">
        <v>81</v>
      </c>
      <c r="D79" s="2" t="s">
        <v>90</v>
      </c>
      <c r="E79" s="2" t="s">
        <v>56</v>
      </c>
      <c r="F79" s="2">
        <v>1</v>
      </c>
      <c r="G79" s="2">
        <v>0.14000000000000001</v>
      </c>
      <c r="H79" s="2" t="s">
        <v>72</v>
      </c>
      <c r="I79" s="5">
        <v>27840.78</v>
      </c>
    </row>
    <row r="80" spans="1:9" x14ac:dyDescent="0.3">
      <c r="A80" s="2">
        <v>1079</v>
      </c>
      <c r="B80" s="2" t="s">
        <v>176</v>
      </c>
      <c r="C80" s="2" t="s">
        <v>122</v>
      </c>
      <c r="D80" s="2" t="s">
        <v>90</v>
      </c>
      <c r="E80" s="2" t="s">
        <v>56</v>
      </c>
      <c r="F80" s="2">
        <v>2</v>
      </c>
      <c r="G80" s="2">
        <v>0.02</v>
      </c>
      <c r="H80" s="2" t="s">
        <v>79</v>
      </c>
      <c r="I80" s="5">
        <v>63451.08</v>
      </c>
    </row>
    <row r="81" spans="1:9" x14ac:dyDescent="0.3">
      <c r="A81" s="2">
        <v>1080</v>
      </c>
      <c r="B81" s="2" t="s">
        <v>177</v>
      </c>
      <c r="C81" s="2" t="s">
        <v>120</v>
      </c>
      <c r="D81" s="2" t="s">
        <v>90</v>
      </c>
      <c r="E81" s="2" t="s">
        <v>56</v>
      </c>
      <c r="F81" s="2">
        <v>1</v>
      </c>
      <c r="G81" s="2">
        <v>0.05</v>
      </c>
      <c r="H81" s="2" t="s">
        <v>72</v>
      </c>
      <c r="I81" s="5">
        <v>30754.35</v>
      </c>
    </row>
    <row r="82" spans="1:9" x14ac:dyDescent="0.3">
      <c r="A82" s="2">
        <v>1081</v>
      </c>
      <c r="B82" s="2" t="s">
        <v>178</v>
      </c>
      <c r="C82" s="2" t="s">
        <v>86</v>
      </c>
      <c r="D82" s="2" t="s">
        <v>90</v>
      </c>
      <c r="E82" s="2" t="s">
        <v>52</v>
      </c>
      <c r="F82" s="2">
        <v>3</v>
      </c>
      <c r="G82" s="2">
        <v>0</v>
      </c>
      <c r="H82" s="2" t="s">
        <v>72</v>
      </c>
      <c r="I82" s="5">
        <v>82089</v>
      </c>
    </row>
    <row r="83" spans="1:9" x14ac:dyDescent="0.3">
      <c r="A83" s="2">
        <v>1082</v>
      </c>
      <c r="B83" s="2" t="s">
        <v>179</v>
      </c>
      <c r="C83" s="2" t="s">
        <v>78</v>
      </c>
      <c r="D83" s="2" t="s">
        <v>82</v>
      </c>
      <c r="E83" s="2" t="s">
        <v>40</v>
      </c>
      <c r="F83" s="2">
        <v>4</v>
      </c>
      <c r="G83" s="2">
        <v>0.11</v>
      </c>
      <c r="H83" s="2" t="s">
        <v>72</v>
      </c>
      <c r="I83" s="5">
        <v>80737.240000000005</v>
      </c>
    </row>
    <row r="84" spans="1:9" x14ac:dyDescent="0.3">
      <c r="A84" s="2">
        <v>1083</v>
      </c>
      <c r="B84" s="2" t="s">
        <v>180</v>
      </c>
      <c r="C84" s="2" t="s">
        <v>98</v>
      </c>
      <c r="D84" s="2" t="s">
        <v>71</v>
      </c>
      <c r="E84" s="2" t="s">
        <v>32</v>
      </c>
      <c r="F84" s="2">
        <v>5</v>
      </c>
      <c r="G84" s="2">
        <v>0.12</v>
      </c>
      <c r="H84" s="2" t="s">
        <v>72</v>
      </c>
      <c r="I84" s="5">
        <v>134644.4</v>
      </c>
    </row>
    <row r="85" spans="1:9" x14ac:dyDescent="0.3">
      <c r="A85" s="2">
        <v>1084</v>
      </c>
      <c r="B85" s="2" t="s">
        <v>181</v>
      </c>
      <c r="C85" s="2" t="s">
        <v>108</v>
      </c>
      <c r="D85" s="2" t="s">
        <v>71</v>
      </c>
      <c r="E85" s="2" t="s">
        <v>56</v>
      </c>
      <c r="F85" s="2">
        <v>3</v>
      </c>
      <c r="G85" s="2">
        <v>0.05</v>
      </c>
      <c r="H85" s="2" t="s">
        <v>84</v>
      </c>
      <c r="I85" s="5">
        <v>92263.05</v>
      </c>
    </row>
    <row r="86" spans="1:9" x14ac:dyDescent="0.3">
      <c r="A86" s="2">
        <v>1085</v>
      </c>
      <c r="B86" s="2" t="s">
        <v>182</v>
      </c>
      <c r="C86" s="2" t="s">
        <v>128</v>
      </c>
      <c r="D86" s="2" t="s">
        <v>82</v>
      </c>
      <c r="E86" s="2" t="s">
        <v>29</v>
      </c>
      <c r="F86" s="2">
        <v>4</v>
      </c>
      <c r="G86" s="2">
        <v>0.09</v>
      </c>
      <c r="H86" s="2" t="s">
        <v>72</v>
      </c>
      <c r="I86" s="5">
        <v>197207.92</v>
      </c>
    </row>
    <row r="87" spans="1:9" x14ac:dyDescent="0.3">
      <c r="A87" s="2">
        <v>1086</v>
      </c>
      <c r="B87" s="2" t="s">
        <v>183</v>
      </c>
      <c r="C87" s="2" t="s">
        <v>89</v>
      </c>
      <c r="D87" s="2" t="s">
        <v>82</v>
      </c>
      <c r="E87" s="2" t="s">
        <v>37</v>
      </c>
      <c r="F87" s="2">
        <v>2</v>
      </c>
      <c r="G87" s="2">
        <v>7.0000000000000007E-2</v>
      </c>
      <c r="H87" s="2" t="s">
        <v>79</v>
      </c>
      <c r="I87" s="5">
        <v>53305.74</v>
      </c>
    </row>
    <row r="88" spans="1:9" x14ac:dyDescent="0.3">
      <c r="A88" s="2">
        <v>1087</v>
      </c>
      <c r="B88" s="2" t="s">
        <v>184</v>
      </c>
      <c r="C88" s="2" t="s">
        <v>171</v>
      </c>
      <c r="D88" s="2" t="s">
        <v>105</v>
      </c>
      <c r="E88" s="2" t="s">
        <v>58</v>
      </c>
      <c r="F88" s="2">
        <v>3</v>
      </c>
      <c r="G88" s="2">
        <v>0.08</v>
      </c>
      <c r="H88" s="2" t="s">
        <v>84</v>
      </c>
      <c r="I88" s="5">
        <v>77324.160000000003</v>
      </c>
    </row>
    <row r="89" spans="1:9" x14ac:dyDescent="0.3">
      <c r="A89" s="2">
        <v>1088</v>
      </c>
      <c r="B89" s="2" t="s">
        <v>185</v>
      </c>
      <c r="C89" s="2" t="s">
        <v>104</v>
      </c>
      <c r="D89" s="2" t="s">
        <v>71</v>
      </c>
      <c r="E89" s="2" t="s">
        <v>45</v>
      </c>
      <c r="F89" s="2">
        <v>4</v>
      </c>
      <c r="G89" s="2">
        <v>0.08</v>
      </c>
      <c r="H89" s="2" t="s">
        <v>84</v>
      </c>
      <c r="I89" s="5">
        <v>200560</v>
      </c>
    </row>
    <row r="90" spans="1:9" x14ac:dyDescent="0.3">
      <c r="A90" s="2">
        <v>1089</v>
      </c>
      <c r="B90" s="2" t="s">
        <v>186</v>
      </c>
      <c r="C90" s="2" t="s">
        <v>94</v>
      </c>
      <c r="D90" s="2" t="s">
        <v>71</v>
      </c>
      <c r="E90" s="2" t="s">
        <v>50</v>
      </c>
      <c r="F90" s="2">
        <v>4</v>
      </c>
      <c r="G90" s="2">
        <v>0.12</v>
      </c>
      <c r="H90" s="2" t="s">
        <v>76</v>
      </c>
      <c r="I90" s="5">
        <v>135949.44</v>
      </c>
    </row>
    <row r="91" spans="1:9" x14ac:dyDescent="0.3">
      <c r="A91" s="2">
        <v>1090</v>
      </c>
      <c r="B91" s="2" t="s">
        <v>187</v>
      </c>
      <c r="C91" s="2" t="s">
        <v>104</v>
      </c>
      <c r="D91" s="2" t="s">
        <v>82</v>
      </c>
      <c r="E91" s="2" t="s">
        <v>29</v>
      </c>
      <c r="F91" s="2">
        <v>3</v>
      </c>
      <c r="G91" s="2">
        <v>0.1</v>
      </c>
      <c r="H91" s="2" t="s">
        <v>79</v>
      </c>
      <c r="I91" s="5">
        <v>146280.6</v>
      </c>
    </row>
    <row r="92" spans="1:9" x14ac:dyDescent="0.3">
      <c r="A92" s="2">
        <v>1091</v>
      </c>
      <c r="B92" s="2" t="s">
        <v>188</v>
      </c>
      <c r="C92" s="2" t="s">
        <v>96</v>
      </c>
      <c r="D92" s="2" t="s">
        <v>75</v>
      </c>
      <c r="E92" s="2" t="s">
        <v>40</v>
      </c>
      <c r="F92" s="2">
        <v>4</v>
      </c>
      <c r="G92" s="2">
        <v>0.15</v>
      </c>
      <c r="H92" s="2" t="s">
        <v>79</v>
      </c>
      <c r="I92" s="5">
        <v>77108.599999999991</v>
      </c>
    </row>
    <row r="93" spans="1:9" x14ac:dyDescent="0.3">
      <c r="A93" s="2">
        <v>1092</v>
      </c>
      <c r="B93" s="2" t="s">
        <v>165</v>
      </c>
      <c r="C93" s="2" t="s">
        <v>74</v>
      </c>
      <c r="D93" s="2" t="s">
        <v>105</v>
      </c>
      <c r="E93" s="2" t="s">
        <v>35</v>
      </c>
      <c r="F93" s="2">
        <v>3</v>
      </c>
      <c r="G93" s="2">
        <v>0.03</v>
      </c>
      <c r="H93" s="2" t="s">
        <v>84</v>
      </c>
      <c r="I93" s="5">
        <v>96774.959999999992</v>
      </c>
    </row>
    <row r="94" spans="1:9" x14ac:dyDescent="0.3">
      <c r="A94" s="2">
        <v>1093</v>
      </c>
      <c r="B94" s="2" t="s">
        <v>189</v>
      </c>
      <c r="C94" s="2" t="s">
        <v>78</v>
      </c>
      <c r="D94" s="2" t="s">
        <v>71</v>
      </c>
      <c r="E94" s="2" t="s">
        <v>54</v>
      </c>
      <c r="F94" s="2">
        <v>2</v>
      </c>
      <c r="G94" s="2">
        <v>0.03</v>
      </c>
      <c r="H94" s="2" t="s">
        <v>72</v>
      </c>
      <c r="I94" s="5">
        <v>68324.86</v>
      </c>
    </row>
    <row r="95" spans="1:9" x14ac:dyDescent="0.3">
      <c r="A95" s="2">
        <v>1094</v>
      </c>
      <c r="B95" s="2" t="s">
        <v>190</v>
      </c>
      <c r="C95" s="2" t="s">
        <v>100</v>
      </c>
      <c r="D95" s="2" t="s">
        <v>75</v>
      </c>
      <c r="E95" s="2" t="s">
        <v>58</v>
      </c>
      <c r="F95" s="2">
        <v>3</v>
      </c>
      <c r="G95" s="2">
        <v>0.15</v>
      </c>
      <c r="H95" s="2" t="s">
        <v>84</v>
      </c>
      <c r="I95" s="5">
        <v>71440.800000000003</v>
      </c>
    </row>
    <row r="96" spans="1:9" x14ac:dyDescent="0.3">
      <c r="A96" s="2">
        <v>1095</v>
      </c>
      <c r="B96" s="2" t="s">
        <v>191</v>
      </c>
      <c r="C96" s="2" t="s">
        <v>104</v>
      </c>
      <c r="D96" s="2" t="s">
        <v>105</v>
      </c>
      <c r="E96" s="2" t="s">
        <v>23</v>
      </c>
      <c r="F96" s="2">
        <v>3</v>
      </c>
      <c r="G96" s="2">
        <v>0</v>
      </c>
      <c r="H96" s="2" t="s">
        <v>84</v>
      </c>
      <c r="I96" s="5">
        <v>124578</v>
      </c>
    </row>
    <row r="97" spans="1:9" x14ac:dyDescent="0.3">
      <c r="A97" s="2">
        <v>1096</v>
      </c>
      <c r="B97" s="2" t="s">
        <v>192</v>
      </c>
      <c r="C97" s="2" t="s">
        <v>102</v>
      </c>
      <c r="D97" s="2" t="s">
        <v>90</v>
      </c>
      <c r="E97" s="2" t="s">
        <v>54</v>
      </c>
      <c r="F97" s="2">
        <v>3</v>
      </c>
      <c r="G97" s="2">
        <v>0.1</v>
      </c>
      <c r="H97" s="2" t="s">
        <v>84</v>
      </c>
      <c r="I97" s="5">
        <v>95091.3</v>
      </c>
    </row>
    <row r="98" spans="1:9" x14ac:dyDescent="0.3">
      <c r="A98" s="2">
        <v>1097</v>
      </c>
      <c r="B98" s="2" t="s">
        <v>193</v>
      </c>
      <c r="C98" s="2" t="s">
        <v>94</v>
      </c>
      <c r="D98" s="2" t="s">
        <v>90</v>
      </c>
      <c r="E98" s="2" t="s">
        <v>7</v>
      </c>
      <c r="F98" s="2">
        <v>5</v>
      </c>
      <c r="G98" s="2">
        <v>0.04</v>
      </c>
      <c r="H98" s="2" t="s">
        <v>72</v>
      </c>
      <c r="I98" s="5">
        <v>130291.2</v>
      </c>
    </row>
    <row r="99" spans="1:9" x14ac:dyDescent="0.3">
      <c r="A99" s="2">
        <v>1098</v>
      </c>
      <c r="B99" s="2" t="s">
        <v>194</v>
      </c>
      <c r="C99" s="2" t="s">
        <v>171</v>
      </c>
      <c r="D99" s="2" t="s">
        <v>87</v>
      </c>
      <c r="E99" s="2" t="s">
        <v>11</v>
      </c>
      <c r="F99" s="2">
        <v>3</v>
      </c>
      <c r="G99" s="2">
        <v>0.14000000000000001</v>
      </c>
      <c r="H99" s="2" t="s">
        <v>72</v>
      </c>
      <c r="I99" s="5">
        <v>51476.160000000003</v>
      </c>
    </row>
    <row r="100" spans="1:9" x14ac:dyDescent="0.3">
      <c r="A100" s="2">
        <v>1099</v>
      </c>
      <c r="B100" s="2" t="s">
        <v>195</v>
      </c>
      <c r="C100" s="2" t="s">
        <v>92</v>
      </c>
      <c r="D100" s="2" t="s">
        <v>82</v>
      </c>
      <c r="E100" s="2" t="s">
        <v>50</v>
      </c>
      <c r="F100" s="2">
        <v>1</v>
      </c>
      <c r="G100" s="2">
        <v>0.09</v>
      </c>
      <c r="H100" s="2" t="s">
        <v>76</v>
      </c>
      <c r="I100" s="5">
        <v>35146.019999999997</v>
      </c>
    </row>
    <row r="101" spans="1:9" x14ac:dyDescent="0.3">
      <c r="A101" s="2">
        <v>1100</v>
      </c>
      <c r="B101" s="2" t="s">
        <v>196</v>
      </c>
      <c r="C101" s="2" t="s">
        <v>148</v>
      </c>
      <c r="D101" s="2" t="s">
        <v>75</v>
      </c>
      <c r="E101" s="2" t="s">
        <v>35</v>
      </c>
      <c r="F101" s="2">
        <v>1</v>
      </c>
      <c r="G101" s="2">
        <v>0.15</v>
      </c>
      <c r="H101" s="2" t="s">
        <v>76</v>
      </c>
      <c r="I101" s="5">
        <v>28267.599999999999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8D312-F9A5-4610-94C7-3D3903F66E50}">
  <dimension ref="B2:E6"/>
  <sheetViews>
    <sheetView workbookViewId="0">
      <selection activeCell="E17" sqref="E17"/>
    </sheetView>
  </sheetViews>
  <sheetFormatPr defaultRowHeight="14.4" x14ac:dyDescent="0.3"/>
  <cols>
    <col min="2" max="4" width="15.21875" customWidth="1"/>
    <col min="5" max="5" width="19.44140625" customWidth="1"/>
  </cols>
  <sheetData>
    <row r="2" spans="2:5" x14ac:dyDescent="0.3">
      <c r="B2" s="6" t="s">
        <v>197</v>
      </c>
      <c r="C2" s="6"/>
      <c r="D2" s="6"/>
      <c r="E2" s="6"/>
    </row>
    <row r="4" spans="2:5" s="2" customFormat="1" x14ac:dyDescent="0.3">
      <c r="B4" s="11" t="s">
        <v>198</v>
      </c>
      <c r="C4" s="11" t="s">
        <v>200</v>
      </c>
      <c r="D4" s="11" t="s">
        <v>199</v>
      </c>
      <c r="E4" s="11" t="s">
        <v>202</v>
      </c>
    </row>
    <row r="5" spans="2:5" x14ac:dyDescent="0.3">
      <c r="B5" s="8">
        <f>SUM(Sales!I2:I101)</f>
        <v>10232424.290000001</v>
      </c>
      <c r="C5" s="8">
        <f>MAX(Products!H2:H21)</f>
        <v>54781</v>
      </c>
      <c r="D5" s="8">
        <f>MIN(Products!H2:H21)</f>
        <v>19952</v>
      </c>
      <c r="E5" s="12">
        <f>AVERAGEA(Products!I2:I21)</f>
        <v>2451.8826746001705</v>
      </c>
    </row>
    <row r="6" spans="2:5" x14ac:dyDescent="0.3">
      <c r="E6" s="7">
        <f>AVERAGE(Products!G2:G21)</f>
        <v>25.6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17BD3-E9FB-4BA1-9241-F8ED97B658E0}">
  <dimension ref="B2:C7"/>
  <sheetViews>
    <sheetView workbookViewId="0">
      <selection activeCell="C16" sqref="C16"/>
    </sheetView>
  </sheetViews>
  <sheetFormatPr defaultRowHeight="14.4" x14ac:dyDescent="0.3"/>
  <cols>
    <col min="2" max="2" width="36.6640625" customWidth="1"/>
    <col min="3" max="3" width="24" customWidth="1"/>
  </cols>
  <sheetData>
    <row r="2" spans="2:3" x14ac:dyDescent="0.3">
      <c r="B2" t="s">
        <v>203</v>
      </c>
    </row>
    <row r="3" spans="2:3" x14ac:dyDescent="0.3">
      <c r="B3" s="6" t="s">
        <v>204</v>
      </c>
    </row>
    <row r="4" spans="2:3" x14ac:dyDescent="0.3">
      <c r="B4" s="6"/>
    </row>
    <row r="5" spans="2:3" x14ac:dyDescent="0.3">
      <c r="B5" s="16" t="s">
        <v>205</v>
      </c>
      <c r="C5" s="8">
        <f>SUMIF(Sales!I2:I101,"&gt;"&amp;AVERAGEIF(Sales!I2:I101,"&gt;0"),Sales!I2:I101)</f>
        <v>6824911.4800000014</v>
      </c>
    </row>
    <row r="6" spans="2:3" x14ac:dyDescent="0.3">
      <c r="B6" s="16" t="s">
        <v>206</v>
      </c>
      <c r="C6" s="17">
        <f>COUNTIF(Sales!I2:I101,"&gt;"&amp;AVERAGEIF(Sales!I2:I101,"&gt;0"))</f>
        <v>43</v>
      </c>
    </row>
    <row r="7" spans="2:3" x14ac:dyDescent="0.3">
      <c r="B7" s="16" t="s">
        <v>207</v>
      </c>
      <c r="C7" s="8">
        <f>AVERAGEIF(Sales!I2:I101,"&gt;"&amp;AVERAGEIF(Sales!I2:I101,"&gt;0"))</f>
        <v>158718.87162790701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B628B-3F41-4BD6-A800-8960B0AD1317}">
  <dimension ref="B2:D25"/>
  <sheetViews>
    <sheetView workbookViewId="0">
      <selection activeCell="B5" sqref="B5"/>
    </sheetView>
  </sheetViews>
  <sheetFormatPr defaultRowHeight="14.4" x14ac:dyDescent="0.3"/>
  <cols>
    <col min="2" max="2" width="17.88671875" customWidth="1"/>
  </cols>
  <sheetData>
    <row r="2" spans="2:4" x14ac:dyDescent="0.3">
      <c r="B2" t="s">
        <v>208</v>
      </c>
    </row>
    <row r="5" spans="2:4" x14ac:dyDescent="0.3">
      <c r="B5" t="str" cm="1">
        <f t="array" ref="B5:B25">VLOOKUP(Products!A1:A21,Products!A1:D21,4,FALSE)</f>
        <v>VehicleType</v>
      </c>
      <c r="D5" t="e">
        <f>_xlfn.XLOOKUP(Products!B2,Products!A1:A21,Products!B1:B22)</f>
        <v>#VALUE!</v>
      </c>
    </row>
    <row r="6" spans="2:4" x14ac:dyDescent="0.3">
      <c r="B6" t="str">
        <v>SUV</v>
      </c>
    </row>
    <row r="7" spans="2:4" x14ac:dyDescent="0.3">
      <c r="B7" t="str">
        <v>Hatchback</v>
      </c>
    </row>
    <row r="8" spans="2:4" x14ac:dyDescent="0.3">
      <c r="B8" t="str">
        <v>Sedan</v>
      </c>
    </row>
    <row r="9" spans="2:4" x14ac:dyDescent="0.3">
      <c r="B9" t="str">
        <v>Hatchback</v>
      </c>
    </row>
    <row r="10" spans="2:4" x14ac:dyDescent="0.3">
      <c r="B10" t="str">
        <v>Sedan</v>
      </c>
    </row>
    <row r="11" spans="2:4" x14ac:dyDescent="0.3">
      <c r="B11" t="str">
        <v>Truck</v>
      </c>
    </row>
    <row r="12" spans="2:4" x14ac:dyDescent="0.3">
      <c r="B12" t="str">
        <v>Hatchback</v>
      </c>
    </row>
    <row r="13" spans="2:4" x14ac:dyDescent="0.3">
      <c r="B13" t="str">
        <v>SUV</v>
      </c>
    </row>
    <row r="14" spans="2:4" x14ac:dyDescent="0.3">
      <c r="B14" t="str">
        <v>Hatchback</v>
      </c>
    </row>
    <row r="15" spans="2:4" x14ac:dyDescent="0.3">
      <c r="B15" t="str">
        <v>SUV</v>
      </c>
    </row>
    <row r="16" spans="2:4" x14ac:dyDescent="0.3">
      <c r="B16" t="str">
        <v>Coupe</v>
      </c>
    </row>
    <row r="17" spans="2:2" x14ac:dyDescent="0.3">
      <c r="B17" t="str">
        <v>Truck</v>
      </c>
    </row>
    <row r="18" spans="2:2" x14ac:dyDescent="0.3">
      <c r="B18" t="str">
        <v>Sedan</v>
      </c>
    </row>
    <row r="19" spans="2:2" x14ac:dyDescent="0.3">
      <c r="B19" t="str">
        <v>Truck</v>
      </c>
    </row>
    <row r="20" spans="2:2" x14ac:dyDescent="0.3">
      <c r="B20" t="str">
        <v>Truck</v>
      </c>
    </row>
    <row r="21" spans="2:2" x14ac:dyDescent="0.3">
      <c r="B21" t="str">
        <v>Coupe</v>
      </c>
    </row>
    <row r="22" spans="2:2" x14ac:dyDescent="0.3">
      <c r="B22" t="str">
        <v>Coupe</v>
      </c>
    </row>
    <row r="23" spans="2:2" x14ac:dyDescent="0.3">
      <c r="B23" t="str">
        <v>Sedan</v>
      </c>
    </row>
    <row r="24" spans="2:2" x14ac:dyDescent="0.3">
      <c r="B24" t="str">
        <v>Coupe</v>
      </c>
    </row>
    <row r="25" spans="2:2" x14ac:dyDescent="0.3">
      <c r="B25" t="str">
        <v>Hatchback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68211-723C-47F3-8662-862BDDBD6646}">
  <dimension ref="A1:J101"/>
  <sheetViews>
    <sheetView tabSelected="1" workbookViewId="0">
      <selection activeCell="F2" sqref="F2"/>
    </sheetView>
  </sheetViews>
  <sheetFormatPr defaultRowHeight="14.4" x14ac:dyDescent="0.3"/>
  <cols>
    <col min="1" max="8" width="10.109375" style="2" customWidth="1"/>
    <col min="9" max="9" width="16.33203125" style="2" customWidth="1"/>
    <col min="10" max="10" width="13.33203125" style="5" customWidth="1"/>
  </cols>
  <sheetData>
    <row r="1" spans="1:10" x14ac:dyDescent="0.3">
      <c r="A1" s="1" t="s">
        <v>61</v>
      </c>
      <c r="B1" s="1" t="s">
        <v>62</v>
      </c>
      <c r="C1" s="1" t="s">
        <v>63</v>
      </c>
      <c r="D1" s="1" t="s">
        <v>64</v>
      </c>
      <c r="E1" s="1" t="s">
        <v>0</v>
      </c>
      <c r="F1" s="18" t="s">
        <v>209</v>
      </c>
      <c r="G1" s="1" t="s">
        <v>65</v>
      </c>
      <c r="H1" s="1" t="s">
        <v>66</v>
      </c>
      <c r="I1" s="1" t="s">
        <v>67</v>
      </c>
      <c r="J1" s="4" t="s">
        <v>68</v>
      </c>
    </row>
    <row r="2" spans="1:10" x14ac:dyDescent="0.3">
      <c r="A2" s="2">
        <v>1001</v>
      </c>
      <c r="B2" s="2" t="s">
        <v>69</v>
      </c>
      <c r="C2" s="2" t="s">
        <v>70</v>
      </c>
      <c r="D2" s="2" t="s">
        <v>71</v>
      </c>
      <c r="E2" s="2" t="s">
        <v>45</v>
      </c>
      <c r="F2"/>
      <c r="G2" s="2">
        <v>5</v>
      </c>
      <c r="H2" s="2">
        <v>0.01</v>
      </c>
      <c r="I2" s="2" t="s">
        <v>72</v>
      </c>
      <c r="J2" s="5">
        <v>269775</v>
      </c>
    </row>
    <row r="3" spans="1:10" x14ac:dyDescent="0.3">
      <c r="A3" s="2">
        <v>1002</v>
      </c>
      <c r="B3" s="2" t="s">
        <v>73</v>
      </c>
      <c r="C3" s="2" t="s">
        <v>74</v>
      </c>
      <c r="D3" s="2" t="s">
        <v>75</v>
      </c>
      <c r="E3" s="2" t="s">
        <v>32</v>
      </c>
      <c r="F3"/>
      <c r="G3" s="2">
        <v>5</v>
      </c>
      <c r="H3" s="2">
        <v>0.13</v>
      </c>
      <c r="I3" s="2" t="s">
        <v>76</v>
      </c>
      <c r="J3" s="5">
        <v>133114.35</v>
      </c>
    </row>
    <row r="4" spans="1:10" x14ac:dyDescent="0.3">
      <c r="A4" s="2">
        <v>1003</v>
      </c>
      <c r="B4" s="2" t="s">
        <v>77</v>
      </c>
      <c r="C4" s="2" t="s">
        <v>78</v>
      </c>
      <c r="D4" s="2" t="s">
        <v>71</v>
      </c>
      <c r="E4" s="2" t="s">
        <v>54</v>
      </c>
      <c r="F4"/>
      <c r="G4" s="2">
        <v>3</v>
      </c>
      <c r="H4" s="2">
        <v>0.12</v>
      </c>
      <c r="I4" s="2" t="s">
        <v>79</v>
      </c>
      <c r="J4" s="5">
        <v>92978.16</v>
      </c>
    </row>
    <row r="5" spans="1:10" x14ac:dyDescent="0.3">
      <c r="A5" s="2">
        <v>1004</v>
      </c>
      <c r="B5" s="2" t="s">
        <v>80</v>
      </c>
      <c r="C5" s="2" t="s">
        <v>81</v>
      </c>
      <c r="D5" s="2" t="s">
        <v>82</v>
      </c>
      <c r="E5" s="2" t="s">
        <v>23</v>
      </c>
      <c r="F5"/>
      <c r="G5" s="2">
        <v>4</v>
      </c>
      <c r="H5" s="2">
        <v>0</v>
      </c>
      <c r="I5" s="2" t="s">
        <v>79</v>
      </c>
      <c r="J5" s="5">
        <v>166104</v>
      </c>
    </row>
    <row r="6" spans="1:10" x14ac:dyDescent="0.3">
      <c r="A6" s="2">
        <v>1005</v>
      </c>
      <c r="B6" s="2" t="s">
        <v>83</v>
      </c>
      <c r="C6" s="2" t="s">
        <v>70</v>
      </c>
      <c r="D6" s="2" t="s">
        <v>75</v>
      </c>
      <c r="E6" s="2" t="s">
        <v>17</v>
      </c>
      <c r="F6"/>
      <c r="G6" s="2">
        <v>3</v>
      </c>
      <c r="H6" s="2">
        <v>0.13</v>
      </c>
      <c r="I6" s="2" t="s">
        <v>84</v>
      </c>
      <c r="J6" s="5">
        <v>94562.91</v>
      </c>
    </row>
    <row r="7" spans="1:10" x14ac:dyDescent="0.3">
      <c r="A7" s="2">
        <v>1006</v>
      </c>
      <c r="B7" s="2" t="s">
        <v>85</v>
      </c>
      <c r="C7" s="2" t="s">
        <v>86</v>
      </c>
      <c r="D7" s="2" t="s">
        <v>87</v>
      </c>
      <c r="E7" s="2" t="s">
        <v>54</v>
      </c>
      <c r="F7"/>
      <c r="G7" s="2">
        <v>5</v>
      </c>
      <c r="H7" s="2">
        <v>0.14000000000000001</v>
      </c>
      <c r="I7" s="2" t="s">
        <v>79</v>
      </c>
      <c r="J7" s="5">
        <v>151441.70000000001</v>
      </c>
    </row>
    <row r="8" spans="1:10" x14ac:dyDescent="0.3">
      <c r="A8" s="2">
        <v>1007</v>
      </c>
      <c r="B8" s="2" t="s">
        <v>88</v>
      </c>
      <c r="C8" s="2" t="s">
        <v>89</v>
      </c>
      <c r="D8" s="2" t="s">
        <v>90</v>
      </c>
      <c r="E8" s="2" t="s">
        <v>40</v>
      </c>
      <c r="F8"/>
      <c r="G8" s="2">
        <v>3</v>
      </c>
      <c r="H8" s="2">
        <v>0.04</v>
      </c>
      <c r="I8" s="2" t="s">
        <v>84</v>
      </c>
      <c r="J8" s="5">
        <v>65315.519999999997</v>
      </c>
    </row>
    <row r="9" spans="1:10" x14ac:dyDescent="0.3">
      <c r="A9" s="2">
        <v>1008</v>
      </c>
      <c r="B9" s="2" t="s">
        <v>91</v>
      </c>
      <c r="C9" s="2" t="s">
        <v>92</v>
      </c>
      <c r="D9" s="2" t="s">
        <v>90</v>
      </c>
      <c r="E9" s="2" t="s">
        <v>50</v>
      </c>
      <c r="F9"/>
      <c r="G9" s="2">
        <v>1</v>
      </c>
      <c r="H9" s="2">
        <v>0.15</v>
      </c>
      <c r="I9" s="2" t="s">
        <v>84</v>
      </c>
      <c r="J9" s="5">
        <v>32828.699999999997</v>
      </c>
    </row>
    <row r="10" spans="1:10" x14ac:dyDescent="0.3">
      <c r="A10" s="2">
        <v>1009</v>
      </c>
      <c r="B10" s="2" t="s">
        <v>93</v>
      </c>
      <c r="C10" s="2" t="s">
        <v>94</v>
      </c>
      <c r="D10" s="2" t="s">
        <v>75</v>
      </c>
      <c r="E10" s="2" t="s">
        <v>23</v>
      </c>
      <c r="F10"/>
      <c r="G10" s="2">
        <v>3</v>
      </c>
      <c r="H10" s="2">
        <v>0.08</v>
      </c>
      <c r="I10" s="2" t="s">
        <v>72</v>
      </c>
      <c r="J10" s="5">
        <v>114611.76</v>
      </c>
    </row>
    <row r="11" spans="1:10" x14ac:dyDescent="0.3">
      <c r="A11" s="2">
        <v>1010</v>
      </c>
      <c r="B11" s="2" t="s">
        <v>95</v>
      </c>
      <c r="C11" s="2" t="s">
        <v>96</v>
      </c>
      <c r="D11" s="2" t="s">
        <v>71</v>
      </c>
      <c r="E11" s="2" t="s">
        <v>26</v>
      </c>
      <c r="F11"/>
      <c r="G11" s="2">
        <v>3</v>
      </c>
      <c r="H11" s="2">
        <v>0.06</v>
      </c>
      <c r="I11" s="2" t="s">
        <v>79</v>
      </c>
      <c r="J11" s="5">
        <v>135664.56</v>
      </c>
    </row>
    <row r="12" spans="1:10" x14ac:dyDescent="0.3">
      <c r="A12" s="2">
        <v>1011</v>
      </c>
      <c r="B12" s="2" t="s">
        <v>97</v>
      </c>
      <c r="C12" s="2" t="s">
        <v>98</v>
      </c>
      <c r="D12" s="2" t="s">
        <v>82</v>
      </c>
      <c r="E12" s="2" t="s">
        <v>17</v>
      </c>
      <c r="F12"/>
      <c r="G12" s="2">
        <v>2</v>
      </c>
      <c r="H12" s="2">
        <v>0.03</v>
      </c>
      <c r="I12" s="2" t="s">
        <v>79</v>
      </c>
      <c r="J12" s="5">
        <v>70288.14</v>
      </c>
    </row>
    <row r="13" spans="1:10" x14ac:dyDescent="0.3">
      <c r="A13" s="2">
        <v>1012</v>
      </c>
      <c r="B13" s="2" t="s">
        <v>99</v>
      </c>
      <c r="C13" s="2" t="s">
        <v>100</v>
      </c>
      <c r="D13" s="2" t="s">
        <v>75</v>
      </c>
      <c r="E13" s="2" t="s">
        <v>29</v>
      </c>
      <c r="F13"/>
      <c r="G13" s="2">
        <v>5</v>
      </c>
      <c r="H13" s="2">
        <v>0.03</v>
      </c>
      <c r="I13" s="2" t="s">
        <v>76</v>
      </c>
      <c r="J13" s="5">
        <v>262763.3</v>
      </c>
    </row>
    <row r="14" spans="1:10" x14ac:dyDescent="0.3">
      <c r="A14" s="2">
        <v>1013</v>
      </c>
      <c r="B14" s="2" t="s">
        <v>101</v>
      </c>
      <c r="C14" s="2" t="s">
        <v>102</v>
      </c>
      <c r="D14" s="2" t="s">
        <v>87</v>
      </c>
      <c r="E14" s="2" t="s">
        <v>14</v>
      </c>
      <c r="F14"/>
      <c r="G14" s="2">
        <v>1</v>
      </c>
      <c r="H14" s="2">
        <v>0.13</v>
      </c>
      <c r="I14" s="2" t="s">
        <v>76</v>
      </c>
      <c r="J14" s="5">
        <v>47659.47</v>
      </c>
    </row>
    <row r="15" spans="1:10" x14ac:dyDescent="0.3">
      <c r="A15" s="2">
        <v>1014</v>
      </c>
      <c r="B15" s="2" t="s">
        <v>103</v>
      </c>
      <c r="C15" s="2" t="s">
        <v>104</v>
      </c>
      <c r="D15" s="2" t="s">
        <v>105</v>
      </c>
      <c r="E15" s="2" t="s">
        <v>50</v>
      </c>
      <c r="F15"/>
      <c r="G15" s="2">
        <v>2</v>
      </c>
      <c r="H15" s="2">
        <v>0.08</v>
      </c>
      <c r="I15" s="2" t="s">
        <v>72</v>
      </c>
      <c r="J15" s="5">
        <v>71064.479999999996</v>
      </c>
    </row>
    <row r="16" spans="1:10" x14ac:dyDescent="0.3">
      <c r="A16" s="2">
        <v>1015</v>
      </c>
      <c r="B16" s="2" t="s">
        <v>106</v>
      </c>
      <c r="C16" s="2" t="s">
        <v>94</v>
      </c>
      <c r="D16" s="2" t="s">
        <v>82</v>
      </c>
      <c r="E16" s="2" t="s">
        <v>26</v>
      </c>
      <c r="F16"/>
      <c r="G16" s="2">
        <v>1</v>
      </c>
      <c r="H16" s="2">
        <v>0.01</v>
      </c>
      <c r="I16" s="2" t="s">
        <v>72</v>
      </c>
      <c r="J16" s="5">
        <v>47626.92</v>
      </c>
    </row>
    <row r="17" spans="1:10" x14ac:dyDescent="0.3">
      <c r="A17" s="2">
        <v>1016</v>
      </c>
      <c r="B17" s="2" t="s">
        <v>107</v>
      </c>
      <c r="C17" s="2" t="s">
        <v>108</v>
      </c>
      <c r="D17" s="2" t="s">
        <v>82</v>
      </c>
      <c r="E17" s="2" t="s">
        <v>48</v>
      </c>
      <c r="F17"/>
      <c r="G17" s="2">
        <v>1</v>
      </c>
      <c r="H17" s="2">
        <v>0.1</v>
      </c>
      <c r="I17" s="2" t="s">
        <v>76</v>
      </c>
      <c r="J17" s="5">
        <v>18092.7</v>
      </c>
    </row>
    <row r="18" spans="1:10" x14ac:dyDescent="0.3">
      <c r="A18" s="2">
        <v>1017</v>
      </c>
      <c r="B18" s="2" t="s">
        <v>109</v>
      </c>
      <c r="C18" s="2" t="s">
        <v>110</v>
      </c>
      <c r="D18" s="2" t="s">
        <v>71</v>
      </c>
      <c r="E18" s="2" t="s">
        <v>37</v>
      </c>
      <c r="F18"/>
      <c r="G18" s="2">
        <v>1</v>
      </c>
      <c r="H18" s="2">
        <v>0.04</v>
      </c>
      <c r="I18" s="2" t="s">
        <v>84</v>
      </c>
      <c r="J18" s="5">
        <v>27512.639999999999</v>
      </c>
    </row>
    <row r="19" spans="1:10" x14ac:dyDescent="0.3">
      <c r="A19" s="2">
        <v>1018</v>
      </c>
      <c r="B19" s="2" t="s">
        <v>111</v>
      </c>
      <c r="C19" s="2" t="s">
        <v>74</v>
      </c>
      <c r="D19" s="2" t="s">
        <v>87</v>
      </c>
      <c r="E19" s="2" t="s">
        <v>45</v>
      </c>
      <c r="F19"/>
      <c r="G19" s="2">
        <v>2</v>
      </c>
      <c r="H19" s="2">
        <v>0.04</v>
      </c>
      <c r="I19" s="2" t="s">
        <v>84</v>
      </c>
      <c r="J19" s="5">
        <v>104640</v>
      </c>
    </row>
    <row r="20" spans="1:10" x14ac:dyDescent="0.3">
      <c r="A20" s="2">
        <v>1019</v>
      </c>
      <c r="B20" s="2" t="s">
        <v>112</v>
      </c>
      <c r="C20" s="2" t="s">
        <v>74</v>
      </c>
      <c r="D20" s="2" t="s">
        <v>75</v>
      </c>
      <c r="E20" s="2" t="s">
        <v>17</v>
      </c>
      <c r="F20"/>
      <c r="G20" s="2">
        <v>1</v>
      </c>
      <c r="H20" s="2">
        <v>0.1</v>
      </c>
      <c r="I20" s="2" t="s">
        <v>76</v>
      </c>
      <c r="J20" s="5">
        <v>32607.9</v>
      </c>
    </row>
    <row r="21" spans="1:10" x14ac:dyDescent="0.3">
      <c r="A21" s="2">
        <v>1020</v>
      </c>
      <c r="B21" s="2" t="s">
        <v>113</v>
      </c>
      <c r="C21" s="2" t="s">
        <v>104</v>
      </c>
      <c r="D21" s="2" t="s">
        <v>87</v>
      </c>
      <c r="E21" s="2" t="s">
        <v>45</v>
      </c>
      <c r="F21"/>
      <c r="G21" s="2">
        <v>4</v>
      </c>
      <c r="H21" s="2">
        <v>7.0000000000000007E-2</v>
      </c>
      <c r="I21" s="2" t="s">
        <v>72</v>
      </c>
      <c r="J21" s="5">
        <v>202740</v>
      </c>
    </row>
    <row r="22" spans="1:10" x14ac:dyDescent="0.3">
      <c r="A22" s="2">
        <v>1021</v>
      </c>
      <c r="B22" s="2" t="s">
        <v>114</v>
      </c>
      <c r="C22" s="2" t="s">
        <v>70</v>
      </c>
      <c r="D22" s="2" t="s">
        <v>82</v>
      </c>
      <c r="E22" s="2" t="s">
        <v>7</v>
      </c>
      <c r="F22"/>
      <c r="G22" s="2">
        <v>4</v>
      </c>
      <c r="H22" s="2">
        <v>0.04</v>
      </c>
      <c r="I22" s="2" t="s">
        <v>72</v>
      </c>
      <c r="J22" s="5">
        <v>104232.96000000001</v>
      </c>
    </row>
    <row r="23" spans="1:10" x14ac:dyDescent="0.3">
      <c r="A23" s="2">
        <v>1022</v>
      </c>
      <c r="B23" s="2" t="s">
        <v>115</v>
      </c>
      <c r="C23" s="2" t="s">
        <v>108</v>
      </c>
      <c r="D23" s="2" t="s">
        <v>71</v>
      </c>
      <c r="E23" s="2" t="s">
        <v>54</v>
      </c>
      <c r="F23"/>
      <c r="G23" s="2">
        <v>4</v>
      </c>
      <c r="H23" s="2">
        <v>0.02</v>
      </c>
      <c r="I23" s="2" t="s">
        <v>79</v>
      </c>
      <c r="J23" s="5">
        <v>138058.48000000001</v>
      </c>
    </row>
    <row r="24" spans="1:10" x14ac:dyDescent="0.3">
      <c r="A24" s="2">
        <v>1023</v>
      </c>
      <c r="B24" s="2" t="s">
        <v>116</v>
      </c>
      <c r="C24" s="2" t="s">
        <v>102</v>
      </c>
      <c r="D24" s="2" t="s">
        <v>75</v>
      </c>
      <c r="E24" s="2" t="s">
        <v>54</v>
      </c>
      <c r="F24"/>
      <c r="G24" s="2">
        <v>1</v>
      </c>
      <c r="H24" s="2">
        <v>0.11</v>
      </c>
      <c r="I24" s="2" t="s">
        <v>76</v>
      </c>
      <c r="J24" s="5">
        <v>31344.91</v>
      </c>
    </row>
    <row r="25" spans="1:10" x14ac:dyDescent="0.3">
      <c r="A25" s="2">
        <v>1024</v>
      </c>
      <c r="B25" s="2" t="s">
        <v>117</v>
      </c>
      <c r="C25" s="2" t="s">
        <v>100</v>
      </c>
      <c r="D25" s="2" t="s">
        <v>82</v>
      </c>
      <c r="E25" s="2" t="s">
        <v>52</v>
      </c>
      <c r="F25"/>
      <c r="G25" s="2">
        <v>5</v>
      </c>
      <c r="H25" s="2">
        <v>0.02</v>
      </c>
      <c r="I25" s="2" t="s">
        <v>76</v>
      </c>
      <c r="J25" s="5">
        <v>134078.70000000001</v>
      </c>
    </row>
    <row r="26" spans="1:10" x14ac:dyDescent="0.3">
      <c r="A26" s="2">
        <v>1025</v>
      </c>
      <c r="B26" s="2" t="s">
        <v>118</v>
      </c>
      <c r="C26" s="2" t="s">
        <v>92</v>
      </c>
      <c r="D26" s="2" t="s">
        <v>75</v>
      </c>
      <c r="E26" s="2" t="s">
        <v>14</v>
      </c>
      <c r="F26"/>
      <c r="G26" s="2">
        <v>2</v>
      </c>
      <c r="H26" s="2">
        <v>0.06</v>
      </c>
      <c r="I26" s="2" t="s">
        <v>84</v>
      </c>
      <c r="J26" s="5">
        <v>102988.28</v>
      </c>
    </row>
    <row r="27" spans="1:10" x14ac:dyDescent="0.3">
      <c r="A27" s="2">
        <v>1026</v>
      </c>
      <c r="B27" s="2" t="s">
        <v>119</v>
      </c>
      <c r="C27" s="2" t="s">
        <v>120</v>
      </c>
      <c r="D27" s="2" t="s">
        <v>90</v>
      </c>
      <c r="E27" s="2" t="s">
        <v>58</v>
      </c>
      <c r="F27"/>
      <c r="G27" s="2">
        <v>1</v>
      </c>
      <c r="H27" s="2">
        <v>0.06</v>
      </c>
      <c r="I27" s="2" t="s">
        <v>79</v>
      </c>
      <c r="J27" s="5">
        <v>26335.040000000001</v>
      </c>
    </row>
    <row r="28" spans="1:10" x14ac:dyDescent="0.3">
      <c r="A28" s="2">
        <v>1027</v>
      </c>
      <c r="B28" s="2" t="s">
        <v>121</v>
      </c>
      <c r="C28" s="2" t="s">
        <v>122</v>
      </c>
      <c r="D28" s="2" t="s">
        <v>71</v>
      </c>
      <c r="E28" s="2" t="s">
        <v>37</v>
      </c>
      <c r="F28"/>
      <c r="G28" s="2">
        <v>2</v>
      </c>
      <c r="H28" s="2">
        <v>0.04</v>
      </c>
      <c r="I28" s="2" t="s">
        <v>84</v>
      </c>
      <c r="J28" s="5">
        <v>55025.279999999999</v>
      </c>
    </row>
    <row r="29" spans="1:10" x14ac:dyDescent="0.3">
      <c r="A29" s="2">
        <v>1028</v>
      </c>
      <c r="B29" s="2" t="s">
        <v>123</v>
      </c>
      <c r="C29" s="2" t="s">
        <v>81</v>
      </c>
      <c r="D29" s="2" t="s">
        <v>82</v>
      </c>
      <c r="E29" s="2" t="s">
        <v>37</v>
      </c>
      <c r="F29"/>
      <c r="G29" s="2">
        <v>1</v>
      </c>
      <c r="H29" s="2">
        <v>0</v>
      </c>
      <c r="I29" s="2" t="s">
        <v>76</v>
      </c>
      <c r="J29" s="5">
        <v>28659</v>
      </c>
    </row>
    <row r="30" spans="1:10" x14ac:dyDescent="0.3">
      <c r="A30" s="2">
        <v>1029</v>
      </c>
      <c r="B30" s="2" t="s">
        <v>124</v>
      </c>
      <c r="C30" s="2" t="s">
        <v>96</v>
      </c>
      <c r="D30" s="2" t="s">
        <v>87</v>
      </c>
      <c r="E30" s="2" t="s">
        <v>52</v>
      </c>
      <c r="F30"/>
      <c r="G30" s="2">
        <v>3</v>
      </c>
      <c r="H30" s="2">
        <v>0.02</v>
      </c>
      <c r="I30" s="2" t="s">
        <v>79</v>
      </c>
      <c r="J30" s="5">
        <v>80447.22</v>
      </c>
    </row>
    <row r="31" spans="1:10" x14ac:dyDescent="0.3">
      <c r="A31" s="2">
        <v>1030</v>
      </c>
      <c r="B31" s="2" t="s">
        <v>125</v>
      </c>
      <c r="C31" s="2" t="s">
        <v>104</v>
      </c>
      <c r="D31" s="2" t="s">
        <v>105</v>
      </c>
      <c r="E31" s="2" t="s">
        <v>35</v>
      </c>
      <c r="F31"/>
      <c r="G31" s="2">
        <v>2</v>
      </c>
      <c r="H31" s="2">
        <v>7.0000000000000007E-2</v>
      </c>
      <c r="I31" s="2" t="s">
        <v>79</v>
      </c>
      <c r="J31" s="5">
        <v>61856.160000000003</v>
      </c>
    </row>
    <row r="32" spans="1:10" x14ac:dyDescent="0.3">
      <c r="A32" s="2">
        <v>1031</v>
      </c>
      <c r="B32" s="2" t="s">
        <v>126</v>
      </c>
      <c r="C32" s="2" t="s">
        <v>98</v>
      </c>
      <c r="D32" s="2" t="s">
        <v>90</v>
      </c>
      <c r="E32" s="2" t="s">
        <v>54</v>
      </c>
      <c r="F32"/>
      <c r="G32" s="2">
        <v>3</v>
      </c>
      <c r="H32" s="2">
        <v>0.14000000000000001</v>
      </c>
      <c r="I32" s="2" t="s">
        <v>76</v>
      </c>
      <c r="J32" s="5">
        <v>90865.02</v>
      </c>
    </row>
    <row r="33" spans="1:10" x14ac:dyDescent="0.3">
      <c r="A33" s="2">
        <v>1032</v>
      </c>
      <c r="B33" s="2" t="s">
        <v>127</v>
      </c>
      <c r="C33" s="2" t="s">
        <v>128</v>
      </c>
      <c r="D33" s="2" t="s">
        <v>90</v>
      </c>
      <c r="E33" s="2" t="s">
        <v>17</v>
      </c>
      <c r="F33"/>
      <c r="G33" s="2">
        <v>5</v>
      </c>
      <c r="H33" s="2">
        <v>0.02</v>
      </c>
      <c r="I33" s="2" t="s">
        <v>79</v>
      </c>
      <c r="J33" s="5">
        <v>177531.9</v>
      </c>
    </row>
    <row r="34" spans="1:10" x14ac:dyDescent="0.3">
      <c r="A34" s="2">
        <v>1033</v>
      </c>
      <c r="B34" s="2" t="s">
        <v>129</v>
      </c>
      <c r="C34" s="2" t="s">
        <v>122</v>
      </c>
      <c r="D34" s="2" t="s">
        <v>71</v>
      </c>
      <c r="E34" s="2" t="s">
        <v>37</v>
      </c>
      <c r="F34"/>
      <c r="G34" s="2">
        <v>2</v>
      </c>
      <c r="H34" s="2">
        <v>0.1</v>
      </c>
      <c r="I34" s="2" t="s">
        <v>79</v>
      </c>
      <c r="J34" s="5">
        <v>51586.2</v>
      </c>
    </row>
    <row r="35" spans="1:10" x14ac:dyDescent="0.3">
      <c r="A35" s="2">
        <v>1034</v>
      </c>
      <c r="B35" s="2" t="s">
        <v>130</v>
      </c>
      <c r="C35" s="2" t="s">
        <v>94</v>
      </c>
      <c r="D35" s="2" t="s">
        <v>105</v>
      </c>
      <c r="E35" s="2" t="s">
        <v>11</v>
      </c>
      <c r="F35"/>
      <c r="G35" s="2">
        <v>1</v>
      </c>
      <c r="H35" s="2">
        <v>0.1</v>
      </c>
      <c r="I35" s="2" t="s">
        <v>79</v>
      </c>
      <c r="J35" s="5">
        <v>17956.8</v>
      </c>
    </row>
    <row r="36" spans="1:10" x14ac:dyDescent="0.3">
      <c r="A36" s="2">
        <v>1035</v>
      </c>
      <c r="B36" s="2" t="s">
        <v>131</v>
      </c>
      <c r="C36" s="2" t="s">
        <v>89</v>
      </c>
      <c r="D36" s="2" t="s">
        <v>105</v>
      </c>
      <c r="E36" s="2" t="s">
        <v>20</v>
      </c>
      <c r="F36"/>
      <c r="G36" s="2">
        <v>3</v>
      </c>
      <c r="H36" s="2">
        <v>0.02</v>
      </c>
      <c r="I36" s="2" t="s">
        <v>72</v>
      </c>
      <c r="J36" s="5">
        <v>82875.66</v>
      </c>
    </row>
    <row r="37" spans="1:10" x14ac:dyDescent="0.3">
      <c r="A37" s="2">
        <v>1036</v>
      </c>
      <c r="B37" s="2" t="s">
        <v>132</v>
      </c>
      <c r="C37" s="2" t="s">
        <v>108</v>
      </c>
      <c r="D37" s="2" t="s">
        <v>75</v>
      </c>
      <c r="E37" s="2" t="s">
        <v>7</v>
      </c>
      <c r="F37"/>
      <c r="G37" s="2">
        <v>1</v>
      </c>
      <c r="H37" s="2">
        <v>0.01</v>
      </c>
      <c r="I37" s="2" t="s">
        <v>84</v>
      </c>
      <c r="J37" s="5">
        <v>26872.560000000001</v>
      </c>
    </row>
    <row r="38" spans="1:10" x14ac:dyDescent="0.3">
      <c r="A38" s="2">
        <v>1037</v>
      </c>
      <c r="B38" s="2" t="s">
        <v>133</v>
      </c>
      <c r="C38" s="2" t="s">
        <v>102</v>
      </c>
      <c r="D38" s="2" t="s">
        <v>105</v>
      </c>
      <c r="E38" s="2" t="s">
        <v>56</v>
      </c>
      <c r="F38"/>
      <c r="G38" s="2">
        <v>5</v>
      </c>
      <c r="H38" s="2">
        <v>0.02</v>
      </c>
      <c r="I38" s="2" t="s">
        <v>84</v>
      </c>
      <c r="J38" s="5">
        <v>158627.70000000001</v>
      </c>
    </row>
    <row r="39" spans="1:10" x14ac:dyDescent="0.3">
      <c r="A39" s="2">
        <v>1038</v>
      </c>
      <c r="B39" s="2" t="s">
        <v>134</v>
      </c>
      <c r="C39" s="2" t="s">
        <v>81</v>
      </c>
      <c r="D39" s="2" t="s">
        <v>105</v>
      </c>
      <c r="E39" s="2" t="s">
        <v>11</v>
      </c>
      <c r="F39"/>
      <c r="G39" s="2">
        <v>3</v>
      </c>
      <c r="H39" s="2">
        <v>0.03</v>
      </c>
      <c r="I39" s="2" t="s">
        <v>84</v>
      </c>
      <c r="J39" s="5">
        <v>58060.32</v>
      </c>
    </row>
    <row r="40" spans="1:10" x14ac:dyDescent="0.3">
      <c r="A40" s="2">
        <v>1039</v>
      </c>
      <c r="B40" s="2" t="s">
        <v>135</v>
      </c>
      <c r="C40" s="2" t="s">
        <v>78</v>
      </c>
      <c r="D40" s="2" t="s">
        <v>105</v>
      </c>
      <c r="E40" s="2" t="s">
        <v>54</v>
      </c>
      <c r="F40"/>
      <c r="G40" s="2">
        <v>4</v>
      </c>
      <c r="H40" s="2">
        <v>0.15</v>
      </c>
      <c r="I40" s="2" t="s">
        <v>84</v>
      </c>
      <c r="J40" s="5">
        <v>119744.6</v>
      </c>
    </row>
    <row r="41" spans="1:10" x14ac:dyDescent="0.3">
      <c r="A41" s="2">
        <v>1040</v>
      </c>
      <c r="B41" s="2" t="s">
        <v>136</v>
      </c>
      <c r="C41" s="2" t="s">
        <v>70</v>
      </c>
      <c r="D41" s="2" t="s">
        <v>87</v>
      </c>
      <c r="E41" s="2" t="s">
        <v>45</v>
      </c>
      <c r="F41"/>
      <c r="G41" s="2">
        <v>1</v>
      </c>
      <c r="H41" s="2">
        <v>0.03</v>
      </c>
      <c r="I41" s="2" t="s">
        <v>79</v>
      </c>
      <c r="J41" s="5">
        <v>52865</v>
      </c>
    </row>
    <row r="42" spans="1:10" x14ac:dyDescent="0.3">
      <c r="A42" s="2">
        <v>1041</v>
      </c>
      <c r="B42" s="2" t="s">
        <v>137</v>
      </c>
      <c r="C42" s="2" t="s">
        <v>104</v>
      </c>
      <c r="D42" s="2" t="s">
        <v>105</v>
      </c>
      <c r="E42" s="2" t="s">
        <v>23</v>
      </c>
      <c r="F42"/>
      <c r="G42" s="2">
        <v>1</v>
      </c>
      <c r="H42" s="2">
        <v>0.06</v>
      </c>
      <c r="I42" s="2" t="s">
        <v>76</v>
      </c>
      <c r="J42" s="5">
        <v>39034.44</v>
      </c>
    </row>
    <row r="43" spans="1:10" x14ac:dyDescent="0.3">
      <c r="A43" s="2">
        <v>1042</v>
      </c>
      <c r="B43" s="2" t="s">
        <v>138</v>
      </c>
      <c r="C43" s="2" t="s">
        <v>104</v>
      </c>
      <c r="D43" s="2" t="s">
        <v>87</v>
      </c>
      <c r="E43" s="2" t="s">
        <v>48</v>
      </c>
      <c r="F43"/>
      <c r="G43" s="2">
        <v>3</v>
      </c>
      <c r="H43" s="2">
        <v>0.05</v>
      </c>
      <c r="I43" s="2" t="s">
        <v>84</v>
      </c>
      <c r="J43" s="5">
        <v>57293.55</v>
      </c>
    </row>
    <row r="44" spans="1:10" x14ac:dyDescent="0.3">
      <c r="A44" s="2">
        <v>1043</v>
      </c>
      <c r="B44" s="2" t="s">
        <v>139</v>
      </c>
      <c r="C44" s="2" t="s">
        <v>89</v>
      </c>
      <c r="D44" s="2" t="s">
        <v>71</v>
      </c>
      <c r="E44" s="2" t="s">
        <v>26</v>
      </c>
      <c r="F44"/>
      <c r="G44" s="2">
        <v>4</v>
      </c>
      <c r="H44" s="2">
        <v>0.05</v>
      </c>
      <c r="I44" s="2" t="s">
        <v>76</v>
      </c>
      <c r="J44" s="5">
        <v>182810.4</v>
      </c>
    </row>
    <row r="45" spans="1:10" x14ac:dyDescent="0.3">
      <c r="A45" s="2">
        <v>1044</v>
      </c>
      <c r="B45" s="2" t="s">
        <v>140</v>
      </c>
      <c r="C45" s="2" t="s">
        <v>86</v>
      </c>
      <c r="D45" s="2" t="s">
        <v>71</v>
      </c>
      <c r="E45" s="2" t="s">
        <v>52</v>
      </c>
      <c r="F45"/>
      <c r="G45" s="2">
        <v>4</v>
      </c>
      <c r="H45" s="2">
        <v>0.1</v>
      </c>
      <c r="I45" s="2" t="s">
        <v>79</v>
      </c>
      <c r="J45" s="5">
        <v>98506.8</v>
      </c>
    </row>
    <row r="46" spans="1:10" x14ac:dyDescent="0.3">
      <c r="A46" s="2">
        <v>1045</v>
      </c>
      <c r="B46" s="2" t="s">
        <v>141</v>
      </c>
      <c r="C46" s="2" t="s">
        <v>78</v>
      </c>
      <c r="D46" s="2" t="s">
        <v>105</v>
      </c>
      <c r="E46" s="2" t="s">
        <v>23</v>
      </c>
      <c r="F46"/>
      <c r="G46" s="2">
        <v>5</v>
      </c>
      <c r="H46" s="2">
        <v>0.14000000000000001</v>
      </c>
      <c r="I46" s="2" t="s">
        <v>79</v>
      </c>
      <c r="J46" s="5">
        <v>178561.8</v>
      </c>
    </row>
    <row r="47" spans="1:10" x14ac:dyDescent="0.3">
      <c r="A47" s="2">
        <v>1046</v>
      </c>
      <c r="B47" s="2" t="s">
        <v>142</v>
      </c>
      <c r="C47" s="2" t="s">
        <v>78</v>
      </c>
      <c r="D47" s="2" t="s">
        <v>75</v>
      </c>
      <c r="E47" s="2" t="s">
        <v>45</v>
      </c>
      <c r="F47"/>
      <c r="G47" s="2">
        <v>3</v>
      </c>
      <c r="H47" s="2">
        <v>0.11</v>
      </c>
      <c r="I47" s="2" t="s">
        <v>79</v>
      </c>
      <c r="J47" s="5">
        <v>145515</v>
      </c>
    </row>
    <row r="48" spans="1:10" x14ac:dyDescent="0.3">
      <c r="A48" s="2">
        <v>1047</v>
      </c>
      <c r="B48" s="2" t="s">
        <v>143</v>
      </c>
      <c r="C48" s="2" t="s">
        <v>120</v>
      </c>
      <c r="D48" s="2" t="s">
        <v>75</v>
      </c>
      <c r="E48" s="2" t="s">
        <v>17</v>
      </c>
      <c r="F48"/>
      <c r="G48" s="2">
        <v>4</v>
      </c>
      <c r="H48" s="2">
        <v>0.13</v>
      </c>
      <c r="I48" s="2" t="s">
        <v>84</v>
      </c>
      <c r="J48" s="5">
        <v>126083.88</v>
      </c>
    </row>
    <row r="49" spans="1:10" x14ac:dyDescent="0.3">
      <c r="A49" s="2">
        <v>1048</v>
      </c>
      <c r="B49" s="2" t="s">
        <v>144</v>
      </c>
      <c r="C49" s="2" t="s">
        <v>102</v>
      </c>
      <c r="D49" s="2" t="s">
        <v>71</v>
      </c>
      <c r="E49" s="2" t="s">
        <v>45</v>
      </c>
      <c r="F49"/>
      <c r="G49" s="2">
        <v>1</v>
      </c>
      <c r="H49" s="2">
        <v>0.08</v>
      </c>
      <c r="I49" s="2" t="s">
        <v>84</v>
      </c>
      <c r="J49" s="5">
        <v>50140</v>
      </c>
    </row>
    <row r="50" spans="1:10" x14ac:dyDescent="0.3">
      <c r="A50" s="2">
        <v>1049</v>
      </c>
      <c r="B50" s="2" t="s">
        <v>145</v>
      </c>
      <c r="C50" s="2" t="s">
        <v>108</v>
      </c>
      <c r="D50" s="2" t="s">
        <v>90</v>
      </c>
      <c r="E50" s="2" t="s">
        <v>37</v>
      </c>
      <c r="F50"/>
      <c r="G50" s="2">
        <v>5</v>
      </c>
      <c r="H50" s="2">
        <v>0.05</v>
      </c>
      <c r="I50" s="2" t="s">
        <v>76</v>
      </c>
      <c r="J50" s="5">
        <v>136130.25</v>
      </c>
    </row>
    <row r="51" spans="1:10" x14ac:dyDescent="0.3">
      <c r="A51" s="2">
        <v>1050</v>
      </c>
      <c r="B51" s="2" t="s">
        <v>146</v>
      </c>
      <c r="C51" s="2" t="s">
        <v>98</v>
      </c>
      <c r="D51" s="2" t="s">
        <v>105</v>
      </c>
      <c r="E51" s="2" t="s">
        <v>45</v>
      </c>
      <c r="F51"/>
      <c r="G51" s="2">
        <v>3</v>
      </c>
      <c r="H51" s="2">
        <v>0.06</v>
      </c>
      <c r="I51" s="2" t="s">
        <v>79</v>
      </c>
      <c r="J51" s="5">
        <v>153690</v>
      </c>
    </row>
    <row r="52" spans="1:10" x14ac:dyDescent="0.3">
      <c r="A52" s="2">
        <v>1051</v>
      </c>
      <c r="B52" s="2" t="s">
        <v>147</v>
      </c>
      <c r="C52" s="2" t="s">
        <v>148</v>
      </c>
      <c r="D52" s="2" t="s">
        <v>87</v>
      </c>
      <c r="E52" s="2" t="s">
        <v>45</v>
      </c>
      <c r="F52"/>
      <c r="G52" s="2">
        <v>4</v>
      </c>
      <c r="H52" s="2">
        <v>0.1</v>
      </c>
      <c r="I52" s="2" t="s">
        <v>84</v>
      </c>
      <c r="J52" s="5">
        <v>196200</v>
      </c>
    </row>
    <row r="53" spans="1:10" x14ac:dyDescent="0.3">
      <c r="A53" s="2">
        <v>1052</v>
      </c>
      <c r="B53" s="2" t="s">
        <v>149</v>
      </c>
      <c r="C53" s="2" t="s">
        <v>100</v>
      </c>
      <c r="D53" s="2" t="s">
        <v>105</v>
      </c>
      <c r="E53" s="2" t="s">
        <v>42</v>
      </c>
      <c r="F53"/>
      <c r="G53" s="2">
        <v>5</v>
      </c>
      <c r="H53" s="2">
        <v>0.13</v>
      </c>
      <c r="I53" s="2" t="s">
        <v>79</v>
      </c>
      <c r="J53" s="5">
        <v>210078.9</v>
      </c>
    </row>
    <row r="54" spans="1:10" x14ac:dyDescent="0.3">
      <c r="A54" s="2">
        <v>1053</v>
      </c>
      <c r="B54" s="2" t="s">
        <v>150</v>
      </c>
      <c r="C54" s="2" t="s">
        <v>122</v>
      </c>
      <c r="D54" s="2" t="s">
        <v>82</v>
      </c>
      <c r="E54" s="2" t="s">
        <v>56</v>
      </c>
      <c r="F54"/>
      <c r="G54" s="2">
        <v>5</v>
      </c>
      <c r="H54" s="2">
        <v>0.1</v>
      </c>
      <c r="I54" s="2" t="s">
        <v>72</v>
      </c>
      <c r="J54" s="5">
        <v>145678.5</v>
      </c>
    </row>
    <row r="55" spans="1:10" x14ac:dyDescent="0.3">
      <c r="A55" s="2">
        <v>1054</v>
      </c>
      <c r="B55" s="2" t="s">
        <v>151</v>
      </c>
      <c r="C55" s="2" t="s">
        <v>74</v>
      </c>
      <c r="D55" s="2" t="s">
        <v>71</v>
      </c>
      <c r="E55" s="2" t="s">
        <v>26</v>
      </c>
      <c r="F55"/>
      <c r="G55" s="2">
        <v>5</v>
      </c>
      <c r="H55" s="2">
        <v>7.0000000000000007E-2</v>
      </c>
      <c r="I55" s="2" t="s">
        <v>84</v>
      </c>
      <c r="J55" s="5">
        <v>223702.2</v>
      </c>
    </row>
    <row r="56" spans="1:10" x14ac:dyDescent="0.3">
      <c r="A56" s="2">
        <v>1055</v>
      </c>
      <c r="B56" s="2" t="s">
        <v>152</v>
      </c>
      <c r="C56" s="2" t="s">
        <v>92</v>
      </c>
      <c r="D56" s="2" t="s">
        <v>105</v>
      </c>
      <c r="E56" s="2" t="s">
        <v>52</v>
      </c>
      <c r="F56"/>
      <c r="G56" s="2">
        <v>5</v>
      </c>
      <c r="H56" s="2">
        <v>0.05</v>
      </c>
      <c r="I56" s="2" t="s">
        <v>84</v>
      </c>
      <c r="J56" s="5">
        <v>129974.25</v>
      </c>
    </row>
    <row r="57" spans="1:10" x14ac:dyDescent="0.3">
      <c r="A57" s="2">
        <v>1056</v>
      </c>
      <c r="B57" s="2" t="s">
        <v>153</v>
      </c>
      <c r="C57" s="2" t="s">
        <v>81</v>
      </c>
      <c r="D57" s="2" t="s">
        <v>87</v>
      </c>
      <c r="E57" s="2" t="s">
        <v>26</v>
      </c>
      <c r="F57"/>
      <c r="G57" s="2">
        <v>2</v>
      </c>
      <c r="H57" s="2">
        <v>0</v>
      </c>
      <c r="I57" s="2" t="s">
        <v>84</v>
      </c>
      <c r="J57" s="5">
        <v>96216</v>
      </c>
    </row>
    <row r="58" spans="1:10" x14ac:dyDescent="0.3">
      <c r="A58" s="2">
        <v>1057</v>
      </c>
      <c r="B58" s="2" t="s">
        <v>154</v>
      </c>
      <c r="C58" s="2" t="s">
        <v>120</v>
      </c>
      <c r="D58" s="2" t="s">
        <v>90</v>
      </c>
      <c r="E58" s="2" t="s">
        <v>48</v>
      </c>
      <c r="F58"/>
      <c r="G58" s="2">
        <v>4</v>
      </c>
      <c r="H58" s="2">
        <v>0.13</v>
      </c>
      <c r="I58" s="2" t="s">
        <v>84</v>
      </c>
      <c r="J58" s="5">
        <v>69958.44</v>
      </c>
    </row>
    <row r="59" spans="1:10" x14ac:dyDescent="0.3">
      <c r="A59" s="2">
        <v>1058</v>
      </c>
      <c r="B59" s="2" t="s">
        <v>155</v>
      </c>
      <c r="C59" s="2" t="s">
        <v>110</v>
      </c>
      <c r="D59" s="2" t="s">
        <v>82</v>
      </c>
      <c r="E59" s="2" t="s">
        <v>42</v>
      </c>
      <c r="F59"/>
      <c r="G59" s="2">
        <v>2</v>
      </c>
      <c r="H59" s="2">
        <v>0.02</v>
      </c>
      <c r="I59" s="2" t="s">
        <v>76</v>
      </c>
      <c r="J59" s="5">
        <v>94656.24</v>
      </c>
    </row>
    <row r="60" spans="1:10" x14ac:dyDescent="0.3">
      <c r="A60" s="2">
        <v>1059</v>
      </c>
      <c r="B60" s="2" t="s">
        <v>156</v>
      </c>
      <c r="C60" s="2" t="s">
        <v>108</v>
      </c>
      <c r="D60" s="2" t="s">
        <v>87</v>
      </c>
      <c r="E60" s="2" t="s">
        <v>23</v>
      </c>
      <c r="F60"/>
      <c r="G60" s="2">
        <v>5</v>
      </c>
      <c r="H60" s="2">
        <v>7.0000000000000007E-2</v>
      </c>
      <c r="I60" s="2" t="s">
        <v>84</v>
      </c>
      <c r="J60" s="5">
        <v>193095.9</v>
      </c>
    </row>
    <row r="61" spans="1:10" x14ac:dyDescent="0.3">
      <c r="A61" s="2">
        <v>1060</v>
      </c>
      <c r="B61" s="2" t="s">
        <v>157</v>
      </c>
      <c r="C61" s="2" t="s">
        <v>74</v>
      </c>
      <c r="D61" s="2" t="s">
        <v>87</v>
      </c>
      <c r="E61" s="2" t="s">
        <v>48</v>
      </c>
      <c r="F61"/>
      <c r="G61" s="2">
        <v>5</v>
      </c>
      <c r="H61" s="2">
        <v>0.15</v>
      </c>
      <c r="I61" s="2" t="s">
        <v>79</v>
      </c>
      <c r="J61" s="5">
        <v>85437.75</v>
      </c>
    </row>
    <row r="62" spans="1:10" x14ac:dyDescent="0.3">
      <c r="A62" s="2">
        <v>1061</v>
      </c>
      <c r="B62" s="2" t="s">
        <v>158</v>
      </c>
      <c r="C62" s="2" t="s">
        <v>120</v>
      </c>
      <c r="D62" s="2" t="s">
        <v>71</v>
      </c>
      <c r="E62" s="2" t="s">
        <v>52</v>
      </c>
      <c r="F62"/>
      <c r="G62" s="2">
        <v>4</v>
      </c>
      <c r="H62" s="2">
        <v>0.12</v>
      </c>
      <c r="I62" s="2" t="s">
        <v>72</v>
      </c>
      <c r="J62" s="5">
        <v>96317.759999999995</v>
      </c>
    </row>
    <row r="63" spans="1:10" x14ac:dyDescent="0.3">
      <c r="A63" s="2">
        <v>1062</v>
      </c>
      <c r="B63" s="2" t="s">
        <v>159</v>
      </c>
      <c r="C63" s="2" t="s">
        <v>94</v>
      </c>
      <c r="D63" s="2" t="s">
        <v>82</v>
      </c>
      <c r="E63" s="2" t="s">
        <v>32</v>
      </c>
      <c r="F63"/>
      <c r="G63" s="2">
        <v>2</v>
      </c>
      <c r="H63" s="2">
        <v>0.13</v>
      </c>
      <c r="I63" s="2" t="s">
        <v>79</v>
      </c>
      <c r="J63" s="5">
        <v>53245.74</v>
      </c>
    </row>
    <row r="64" spans="1:10" x14ac:dyDescent="0.3">
      <c r="A64" s="2">
        <v>1063</v>
      </c>
      <c r="B64" s="2" t="s">
        <v>160</v>
      </c>
      <c r="C64" s="2" t="s">
        <v>94</v>
      </c>
      <c r="D64" s="2" t="s">
        <v>71</v>
      </c>
      <c r="E64" s="2" t="s">
        <v>29</v>
      </c>
      <c r="F64"/>
      <c r="G64" s="2">
        <v>3</v>
      </c>
      <c r="H64" s="2">
        <v>7.0000000000000007E-2</v>
      </c>
      <c r="I64" s="2" t="s">
        <v>79</v>
      </c>
      <c r="J64" s="5">
        <v>151156.62</v>
      </c>
    </row>
    <row r="65" spans="1:10" x14ac:dyDescent="0.3">
      <c r="A65" s="2">
        <v>1064</v>
      </c>
      <c r="B65" s="2" t="s">
        <v>161</v>
      </c>
      <c r="C65" s="2" t="s">
        <v>128</v>
      </c>
      <c r="D65" s="2" t="s">
        <v>105</v>
      </c>
      <c r="E65" s="2" t="s">
        <v>37</v>
      </c>
      <c r="F65"/>
      <c r="G65" s="2">
        <v>5</v>
      </c>
      <c r="H65" s="2">
        <v>0.01</v>
      </c>
      <c r="I65" s="2" t="s">
        <v>84</v>
      </c>
      <c r="J65" s="5">
        <v>141862.04999999999</v>
      </c>
    </row>
    <row r="66" spans="1:10" x14ac:dyDescent="0.3">
      <c r="A66" s="2">
        <v>1065</v>
      </c>
      <c r="B66" s="2" t="s">
        <v>162</v>
      </c>
      <c r="C66" s="2" t="s">
        <v>110</v>
      </c>
      <c r="D66" s="2" t="s">
        <v>71</v>
      </c>
      <c r="E66" s="2" t="s">
        <v>20</v>
      </c>
      <c r="F66"/>
      <c r="G66" s="2">
        <v>2</v>
      </c>
      <c r="H66" s="2">
        <v>0.01</v>
      </c>
      <c r="I66" s="2" t="s">
        <v>72</v>
      </c>
      <c r="J66" s="5">
        <v>55814.22</v>
      </c>
    </row>
    <row r="67" spans="1:10" x14ac:dyDescent="0.3">
      <c r="A67" s="2">
        <v>1066</v>
      </c>
      <c r="B67" s="2" t="s">
        <v>163</v>
      </c>
      <c r="C67" s="2" t="s">
        <v>96</v>
      </c>
      <c r="D67" s="2" t="s">
        <v>82</v>
      </c>
      <c r="E67" s="2" t="s">
        <v>45</v>
      </c>
      <c r="F67"/>
      <c r="G67" s="2">
        <v>1</v>
      </c>
      <c r="H67" s="2">
        <v>0.03</v>
      </c>
      <c r="I67" s="2" t="s">
        <v>72</v>
      </c>
      <c r="J67" s="5">
        <v>52865</v>
      </c>
    </row>
    <row r="68" spans="1:10" x14ac:dyDescent="0.3">
      <c r="A68" s="2">
        <v>1067</v>
      </c>
      <c r="B68" s="2" t="s">
        <v>164</v>
      </c>
      <c r="C68" s="2" t="s">
        <v>100</v>
      </c>
      <c r="D68" s="2" t="s">
        <v>71</v>
      </c>
      <c r="E68" s="2" t="s">
        <v>7</v>
      </c>
      <c r="F68"/>
      <c r="G68" s="2">
        <v>5</v>
      </c>
      <c r="H68" s="2">
        <v>0.06</v>
      </c>
      <c r="I68" s="2" t="s">
        <v>76</v>
      </c>
      <c r="J68" s="5">
        <v>127576.8</v>
      </c>
    </row>
    <row r="69" spans="1:10" x14ac:dyDescent="0.3">
      <c r="A69" s="2">
        <v>1068</v>
      </c>
      <c r="B69" s="2" t="s">
        <v>165</v>
      </c>
      <c r="C69" s="2" t="s">
        <v>81</v>
      </c>
      <c r="D69" s="2" t="s">
        <v>82</v>
      </c>
      <c r="E69" s="2" t="s">
        <v>45</v>
      </c>
      <c r="F69"/>
      <c r="G69" s="2">
        <v>5</v>
      </c>
      <c r="H69" s="2">
        <v>0.11</v>
      </c>
      <c r="I69" s="2" t="s">
        <v>84</v>
      </c>
      <c r="J69" s="5">
        <v>242525</v>
      </c>
    </row>
    <row r="70" spans="1:10" x14ac:dyDescent="0.3">
      <c r="A70" s="2">
        <v>1069</v>
      </c>
      <c r="B70" s="2" t="s">
        <v>166</v>
      </c>
      <c r="C70" s="2" t="s">
        <v>104</v>
      </c>
      <c r="D70" s="2" t="s">
        <v>105</v>
      </c>
      <c r="E70" s="2" t="s">
        <v>45</v>
      </c>
      <c r="F70"/>
      <c r="G70" s="2">
        <v>4</v>
      </c>
      <c r="H70" s="2">
        <v>0</v>
      </c>
      <c r="I70" s="2" t="s">
        <v>79</v>
      </c>
      <c r="J70" s="5">
        <v>218000</v>
      </c>
    </row>
    <row r="71" spans="1:10" x14ac:dyDescent="0.3">
      <c r="A71" s="2">
        <v>1070</v>
      </c>
      <c r="B71" s="2" t="s">
        <v>167</v>
      </c>
      <c r="C71" s="2" t="s">
        <v>110</v>
      </c>
      <c r="D71" s="2" t="s">
        <v>71</v>
      </c>
      <c r="E71" s="2" t="s">
        <v>23</v>
      </c>
      <c r="F71"/>
      <c r="G71" s="2">
        <v>4</v>
      </c>
      <c r="H71" s="2">
        <v>0.14000000000000001</v>
      </c>
      <c r="I71" s="2" t="s">
        <v>76</v>
      </c>
      <c r="J71" s="5">
        <v>142849.44</v>
      </c>
    </row>
    <row r="72" spans="1:10" x14ac:dyDescent="0.3">
      <c r="A72" s="2">
        <v>1071</v>
      </c>
      <c r="B72" s="2" t="s">
        <v>168</v>
      </c>
      <c r="C72" s="2" t="s">
        <v>100</v>
      </c>
      <c r="D72" s="2" t="s">
        <v>75</v>
      </c>
      <c r="E72" s="2" t="s">
        <v>7</v>
      </c>
      <c r="F72"/>
      <c r="G72" s="2">
        <v>1</v>
      </c>
      <c r="H72" s="2">
        <v>0.1</v>
      </c>
      <c r="I72" s="2" t="s">
        <v>84</v>
      </c>
      <c r="J72" s="5">
        <v>24429.599999999999</v>
      </c>
    </row>
    <row r="73" spans="1:10" x14ac:dyDescent="0.3">
      <c r="A73" s="2">
        <v>1072</v>
      </c>
      <c r="B73" s="2" t="s">
        <v>169</v>
      </c>
      <c r="C73" s="2" t="s">
        <v>70</v>
      </c>
      <c r="D73" s="2" t="s">
        <v>90</v>
      </c>
      <c r="E73" s="2" t="s">
        <v>32</v>
      </c>
      <c r="F73"/>
      <c r="G73" s="2">
        <v>4</v>
      </c>
      <c r="H73" s="2">
        <v>0.05</v>
      </c>
      <c r="I73" s="2" t="s">
        <v>72</v>
      </c>
      <c r="J73" s="5">
        <v>116283.8</v>
      </c>
    </row>
    <row r="74" spans="1:10" x14ac:dyDescent="0.3">
      <c r="A74" s="2">
        <v>1073</v>
      </c>
      <c r="B74" s="2" t="s">
        <v>170</v>
      </c>
      <c r="C74" s="2" t="s">
        <v>171</v>
      </c>
      <c r="D74" s="2" t="s">
        <v>82</v>
      </c>
      <c r="E74" s="2" t="s">
        <v>32</v>
      </c>
      <c r="F74"/>
      <c r="G74" s="2">
        <v>4</v>
      </c>
      <c r="H74" s="2">
        <v>0.04</v>
      </c>
      <c r="I74" s="2" t="s">
        <v>76</v>
      </c>
      <c r="J74" s="5">
        <v>117507.84</v>
      </c>
    </row>
    <row r="75" spans="1:10" x14ac:dyDescent="0.3">
      <c r="A75" s="2">
        <v>1074</v>
      </c>
      <c r="B75" s="2" t="s">
        <v>138</v>
      </c>
      <c r="C75" s="2" t="s">
        <v>89</v>
      </c>
      <c r="D75" s="2" t="s">
        <v>71</v>
      </c>
      <c r="E75" s="2" t="s">
        <v>54</v>
      </c>
      <c r="F75"/>
      <c r="G75" s="2">
        <v>1</v>
      </c>
      <c r="H75" s="2">
        <v>0.15</v>
      </c>
      <c r="I75" s="2" t="s">
        <v>79</v>
      </c>
      <c r="J75" s="5">
        <v>29936.15</v>
      </c>
    </row>
    <row r="76" spans="1:10" x14ac:dyDescent="0.3">
      <c r="A76" s="2">
        <v>1075</v>
      </c>
      <c r="B76" s="2" t="s">
        <v>172</v>
      </c>
      <c r="C76" s="2" t="s">
        <v>92</v>
      </c>
      <c r="D76" s="2" t="s">
        <v>71</v>
      </c>
      <c r="E76" s="2" t="s">
        <v>11</v>
      </c>
      <c r="F76"/>
      <c r="G76" s="2">
        <v>1</v>
      </c>
      <c r="H76" s="2">
        <v>0.14000000000000001</v>
      </c>
      <c r="I76" s="2" t="s">
        <v>84</v>
      </c>
      <c r="J76" s="5">
        <v>17158.72</v>
      </c>
    </row>
    <row r="77" spans="1:10" x14ac:dyDescent="0.3">
      <c r="A77" s="2">
        <v>1076</v>
      </c>
      <c r="B77" s="2" t="s">
        <v>173</v>
      </c>
      <c r="C77" s="2" t="s">
        <v>120</v>
      </c>
      <c r="D77" s="2" t="s">
        <v>87</v>
      </c>
      <c r="E77" s="2" t="s">
        <v>29</v>
      </c>
      <c r="F77"/>
      <c r="G77" s="2">
        <v>2</v>
      </c>
      <c r="H77" s="2">
        <v>7.0000000000000007E-2</v>
      </c>
      <c r="I77" s="2" t="s">
        <v>76</v>
      </c>
      <c r="J77" s="5">
        <v>100771.08</v>
      </c>
    </row>
    <row r="78" spans="1:10" x14ac:dyDescent="0.3">
      <c r="A78" s="2">
        <v>1077</v>
      </c>
      <c r="B78" s="2" t="s">
        <v>174</v>
      </c>
      <c r="C78" s="2" t="s">
        <v>122</v>
      </c>
      <c r="D78" s="2" t="s">
        <v>82</v>
      </c>
      <c r="E78" s="2" t="s">
        <v>32</v>
      </c>
      <c r="F78"/>
      <c r="G78" s="2">
        <v>3</v>
      </c>
      <c r="H78" s="2">
        <v>0.03</v>
      </c>
      <c r="I78" s="2" t="s">
        <v>76</v>
      </c>
      <c r="J78" s="5">
        <v>89048.91</v>
      </c>
    </row>
    <row r="79" spans="1:10" x14ac:dyDescent="0.3">
      <c r="A79" s="2">
        <v>1078</v>
      </c>
      <c r="B79" s="2" t="s">
        <v>175</v>
      </c>
      <c r="C79" s="2" t="s">
        <v>81</v>
      </c>
      <c r="D79" s="2" t="s">
        <v>90</v>
      </c>
      <c r="E79" s="2" t="s">
        <v>56</v>
      </c>
      <c r="F79"/>
      <c r="G79" s="2">
        <v>1</v>
      </c>
      <c r="H79" s="2">
        <v>0.14000000000000001</v>
      </c>
      <c r="I79" s="2" t="s">
        <v>72</v>
      </c>
      <c r="J79" s="5">
        <v>27840.78</v>
      </c>
    </row>
    <row r="80" spans="1:10" x14ac:dyDescent="0.3">
      <c r="A80" s="2">
        <v>1079</v>
      </c>
      <c r="B80" s="2" t="s">
        <v>176</v>
      </c>
      <c r="C80" s="2" t="s">
        <v>122</v>
      </c>
      <c r="D80" s="2" t="s">
        <v>90</v>
      </c>
      <c r="E80" s="2" t="s">
        <v>56</v>
      </c>
      <c r="F80"/>
      <c r="G80" s="2">
        <v>2</v>
      </c>
      <c r="H80" s="2">
        <v>0.02</v>
      </c>
      <c r="I80" s="2" t="s">
        <v>79</v>
      </c>
      <c r="J80" s="5">
        <v>63451.08</v>
      </c>
    </row>
    <row r="81" spans="1:10" x14ac:dyDescent="0.3">
      <c r="A81" s="2">
        <v>1080</v>
      </c>
      <c r="B81" s="2" t="s">
        <v>177</v>
      </c>
      <c r="C81" s="2" t="s">
        <v>120</v>
      </c>
      <c r="D81" s="2" t="s">
        <v>90</v>
      </c>
      <c r="E81" s="2" t="s">
        <v>56</v>
      </c>
      <c r="F81"/>
      <c r="G81" s="2">
        <v>1</v>
      </c>
      <c r="H81" s="2">
        <v>0.05</v>
      </c>
      <c r="I81" s="2" t="s">
        <v>72</v>
      </c>
      <c r="J81" s="5">
        <v>30754.35</v>
      </c>
    </row>
    <row r="82" spans="1:10" x14ac:dyDescent="0.3">
      <c r="A82" s="2">
        <v>1081</v>
      </c>
      <c r="B82" s="2" t="s">
        <v>178</v>
      </c>
      <c r="C82" s="2" t="s">
        <v>86</v>
      </c>
      <c r="D82" s="2" t="s">
        <v>90</v>
      </c>
      <c r="E82" s="2" t="s">
        <v>52</v>
      </c>
      <c r="F82"/>
      <c r="G82" s="2">
        <v>3</v>
      </c>
      <c r="H82" s="2">
        <v>0</v>
      </c>
      <c r="I82" s="2" t="s">
        <v>72</v>
      </c>
      <c r="J82" s="5">
        <v>82089</v>
      </c>
    </row>
    <row r="83" spans="1:10" x14ac:dyDescent="0.3">
      <c r="A83" s="2">
        <v>1082</v>
      </c>
      <c r="B83" s="2" t="s">
        <v>179</v>
      </c>
      <c r="C83" s="2" t="s">
        <v>78</v>
      </c>
      <c r="D83" s="2" t="s">
        <v>82</v>
      </c>
      <c r="E83" s="2" t="s">
        <v>40</v>
      </c>
      <c r="F83"/>
      <c r="G83" s="2">
        <v>4</v>
      </c>
      <c r="H83" s="2">
        <v>0.11</v>
      </c>
      <c r="I83" s="2" t="s">
        <v>72</v>
      </c>
      <c r="J83" s="5">
        <v>80737.240000000005</v>
      </c>
    </row>
    <row r="84" spans="1:10" x14ac:dyDescent="0.3">
      <c r="A84" s="2">
        <v>1083</v>
      </c>
      <c r="B84" s="2" t="s">
        <v>180</v>
      </c>
      <c r="C84" s="2" t="s">
        <v>98</v>
      </c>
      <c r="D84" s="2" t="s">
        <v>71</v>
      </c>
      <c r="E84" s="2" t="s">
        <v>32</v>
      </c>
      <c r="F84"/>
      <c r="G84" s="2">
        <v>5</v>
      </c>
      <c r="H84" s="2">
        <v>0.12</v>
      </c>
      <c r="I84" s="2" t="s">
        <v>72</v>
      </c>
      <c r="J84" s="5">
        <v>134644.4</v>
      </c>
    </row>
    <row r="85" spans="1:10" x14ac:dyDescent="0.3">
      <c r="A85" s="2">
        <v>1084</v>
      </c>
      <c r="B85" s="2" t="s">
        <v>181</v>
      </c>
      <c r="C85" s="2" t="s">
        <v>108</v>
      </c>
      <c r="D85" s="2" t="s">
        <v>71</v>
      </c>
      <c r="E85" s="2" t="s">
        <v>56</v>
      </c>
      <c r="F85"/>
      <c r="G85" s="2">
        <v>3</v>
      </c>
      <c r="H85" s="2">
        <v>0.05</v>
      </c>
      <c r="I85" s="2" t="s">
        <v>84</v>
      </c>
      <c r="J85" s="5">
        <v>92263.05</v>
      </c>
    </row>
    <row r="86" spans="1:10" x14ac:dyDescent="0.3">
      <c r="A86" s="2">
        <v>1085</v>
      </c>
      <c r="B86" s="2" t="s">
        <v>182</v>
      </c>
      <c r="C86" s="2" t="s">
        <v>128</v>
      </c>
      <c r="D86" s="2" t="s">
        <v>82</v>
      </c>
      <c r="E86" s="2" t="s">
        <v>29</v>
      </c>
      <c r="F86"/>
      <c r="G86" s="2">
        <v>4</v>
      </c>
      <c r="H86" s="2">
        <v>0.09</v>
      </c>
      <c r="I86" s="2" t="s">
        <v>72</v>
      </c>
      <c r="J86" s="5">
        <v>197207.92</v>
      </c>
    </row>
    <row r="87" spans="1:10" x14ac:dyDescent="0.3">
      <c r="A87" s="2">
        <v>1086</v>
      </c>
      <c r="B87" s="2" t="s">
        <v>183</v>
      </c>
      <c r="C87" s="2" t="s">
        <v>89</v>
      </c>
      <c r="D87" s="2" t="s">
        <v>82</v>
      </c>
      <c r="E87" s="2" t="s">
        <v>37</v>
      </c>
      <c r="F87"/>
      <c r="G87" s="2">
        <v>2</v>
      </c>
      <c r="H87" s="2">
        <v>7.0000000000000007E-2</v>
      </c>
      <c r="I87" s="2" t="s">
        <v>79</v>
      </c>
      <c r="J87" s="5">
        <v>53305.74</v>
      </c>
    </row>
    <row r="88" spans="1:10" x14ac:dyDescent="0.3">
      <c r="A88" s="2">
        <v>1087</v>
      </c>
      <c r="B88" s="2" t="s">
        <v>184</v>
      </c>
      <c r="C88" s="2" t="s">
        <v>171</v>
      </c>
      <c r="D88" s="2" t="s">
        <v>105</v>
      </c>
      <c r="E88" s="2" t="s">
        <v>58</v>
      </c>
      <c r="F88"/>
      <c r="G88" s="2">
        <v>3</v>
      </c>
      <c r="H88" s="2">
        <v>0.08</v>
      </c>
      <c r="I88" s="2" t="s">
        <v>84</v>
      </c>
      <c r="J88" s="5">
        <v>77324.160000000003</v>
      </c>
    </row>
    <row r="89" spans="1:10" x14ac:dyDescent="0.3">
      <c r="A89" s="2">
        <v>1088</v>
      </c>
      <c r="B89" s="2" t="s">
        <v>185</v>
      </c>
      <c r="C89" s="2" t="s">
        <v>104</v>
      </c>
      <c r="D89" s="2" t="s">
        <v>71</v>
      </c>
      <c r="E89" s="2" t="s">
        <v>45</v>
      </c>
      <c r="F89"/>
      <c r="G89" s="2">
        <v>4</v>
      </c>
      <c r="H89" s="2">
        <v>0.08</v>
      </c>
      <c r="I89" s="2" t="s">
        <v>84</v>
      </c>
      <c r="J89" s="5">
        <v>200560</v>
      </c>
    </row>
    <row r="90" spans="1:10" x14ac:dyDescent="0.3">
      <c r="A90" s="2">
        <v>1089</v>
      </c>
      <c r="B90" s="2" t="s">
        <v>186</v>
      </c>
      <c r="C90" s="2" t="s">
        <v>94</v>
      </c>
      <c r="D90" s="2" t="s">
        <v>71</v>
      </c>
      <c r="E90" s="2" t="s">
        <v>50</v>
      </c>
      <c r="F90"/>
      <c r="G90" s="2">
        <v>4</v>
      </c>
      <c r="H90" s="2">
        <v>0.12</v>
      </c>
      <c r="I90" s="2" t="s">
        <v>76</v>
      </c>
      <c r="J90" s="5">
        <v>135949.44</v>
      </c>
    </row>
    <row r="91" spans="1:10" x14ac:dyDescent="0.3">
      <c r="A91" s="2">
        <v>1090</v>
      </c>
      <c r="B91" s="2" t="s">
        <v>187</v>
      </c>
      <c r="C91" s="2" t="s">
        <v>104</v>
      </c>
      <c r="D91" s="2" t="s">
        <v>82</v>
      </c>
      <c r="E91" s="2" t="s">
        <v>29</v>
      </c>
      <c r="F91"/>
      <c r="G91" s="2">
        <v>3</v>
      </c>
      <c r="H91" s="2">
        <v>0.1</v>
      </c>
      <c r="I91" s="2" t="s">
        <v>79</v>
      </c>
      <c r="J91" s="5">
        <v>146280.6</v>
      </c>
    </row>
    <row r="92" spans="1:10" x14ac:dyDescent="0.3">
      <c r="A92" s="2">
        <v>1091</v>
      </c>
      <c r="B92" s="2" t="s">
        <v>188</v>
      </c>
      <c r="C92" s="2" t="s">
        <v>96</v>
      </c>
      <c r="D92" s="2" t="s">
        <v>75</v>
      </c>
      <c r="E92" s="2" t="s">
        <v>40</v>
      </c>
      <c r="F92"/>
      <c r="G92" s="2">
        <v>4</v>
      </c>
      <c r="H92" s="2">
        <v>0.15</v>
      </c>
      <c r="I92" s="2" t="s">
        <v>79</v>
      </c>
      <c r="J92" s="5">
        <v>77108.599999999991</v>
      </c>
    </row>
    <row r="93" spans="1:10" x14ac:dyDescent="0.3">
      <c r="A93" s="2">
        <v>1092</v>
      </c>
      <c r="B93" s="2" t="s">
        <v>165</v>
      </c>
      <c r="C93" s="2" t="s">
        <v>74</v>
      </c>
      <c r="D93" s="2" t="s">
        <v>105</v>
      </c>
      <c r="E93" s="2" t="s">
        <v>35</v>
      </c>
      <c r="F93"/>
      <c r="G93" s="2">
        <v>3</v>
      </c>
      <c r="H93" s="2">
        <v>0.03</v>
      </c>
      <c r="I93" s="2" t="s">
        <v>84</v>
      </c>
      <c r="J93" s="5">
        <v>96774.959999999992</v>
      </c>
    </row>
    <row r="94" spans="1:10" x14ac:dyDescent="0.3">
      <c r="A94" s="2">
        <v>1093</v>
      </c>
      <c r="B94" s="2" t="s">
        <v>189</v>
      </c>
      <c r="C94" s="2" t="s">
        <v>78</v>
      </c>
      <c r="D94" s="2" t="s">
        <v>71</v>
      </c>
      <c r="E94" s="2" t="s">
        <v>54</v>
      </c>
      <c r="F94"/>
      <c r="G94" s="2">
        <v>2</v>
      </c>
      <c r="H94" s="2">
        <v>0.03</v>
      </c>
      <c r="I94" s="2" t="s">
        <v>72</v>
      </c>
      <c r="J94" s="5">
        <v>68324.86</v>
      </c>
    </row>
    <row r="95" spans="1:10" x14ac:dyDescent="0.3">
      <c r="A95" s="2">
        <v>1094</v>
      </c>
      <c r="B95" s="2" t="s">
        <v>190</v>
      </c>
      <c r="C95" s="2" t="s">
        <v>100</v>
      </c>
      <c r="D95" s="2" t="s">
        <v>75</v>
      </c>
      <c r="E95" s="2" t="s">
        <v>58</v>
      </c>
      <c r="F95"/>
      <c r="G95" s="2">
        <v>3</v>
      </c>
      <c r="H95" s="2">
        <v>0.15</v>
      </c>
      <c r="I95" s="2" t="s">
        <v>84</v>
      </c>
      <c r="J95" s="5">
        <v>71440.800000000003</v>
      </c>
    </row>
    <row r="96" spans="1:10" x14ac:dyDescent="0.3">
      <c r="A96" s="2">
        <v>1095</v>
      </c>
      <c r="B96" s="2" t="s">
        <v>191</v>
      </c>
      <c r="C96" s="2" t="s">
        <v>104</v>
      </c>
      <c r="D96" s="2" t="s">
        <v>105</v>
      </c>
      <c r="E96" s="2" t="s">
        <v>23</v>
      </c>
      <c r="F96"/>
      <c r="G96" s="2">
        <v>3</v>
      </c>
      <c r="H96" s="2">
        <v>0</v>
      </c>
      <c r="I96" s="2" t="s">
        <v>84</v>
      </c>
      <c r="J96" s="5">
        <v>124578</v>
      </c>
    </row>
    <row r="97" spans="1:10" x14ac:dyDescent="0.3">
      <c r="A97" s="2">
        <v>1096</v>
      </c>
      <c r="B97" s="2" t="s">
        <v>192</v>
      </c>
      <c r="C97" s="2" t="s">
        <v>102</v>
      </c>
      <c r="D97" s="2" t="s">
        <v>90</v>
      </c>
      <c r="E97" s="2" t="s">
        <v>54</v>
      </c>
      <c r="F97"/>
      <c r="G97" s="2">
        <v>3</v>
      </c>
      <c r="H97" s="2">
        <v>0.1</v>
      </c>
      <c r="I97" s="2" t="s">
        <v>84</v>
      </c>
      <c r="J97" s="5">
        <v>95091.3</v>
      </c>
    </row>
    <row r="98" spans="1:10" x14ac:dyDescent="0.3">
      <c r="A98" s="2">
        <v>1097</v>
      </c>
      <c r="B98" s="2" t="s">
        <v>193</v>
      </c>
      <c r="C98" s="2" t="s">
        <v>94</v>
      </c>
      <c r="D98" s="2" t="s">
        <v>90</v>
      </c>
      <c r="E98" s="2" t="s">
        <v>7</v>
      </c>
      <c r="F98"/>
      <c r="G98" s="2">
        <v>5</v>
      </c>
      <c r="H98" s="2">
        <v>0.04</v>
      </c>
      <c r="I98" s="2" t="s">
        <v>72</v>
      </c>
      <c r="J98" s="5">
        <v>130291.2</v>
      </c>
    </row>
    <row r="99" spans="1:10" x14ac:dyDescent="0.3">
      <c r="A99" s="2">
        <v>1098</v>
      </c>
      <c r="B99" s="2" t="s">
        <v>194</v>
      </c>
      <c r="C99" s="2" t="s">
        <v>171</v>
      </c>
      <c r="D99" s="2" t="s">
        <v>87</v>
      </c>
      <c r="E99" s="2" t="s">
        <v>11</v>
      </c>
      <c r="F99"/>
      <c r="G99" s="2">
        <v>3</v>
      </c>
      <c r="H99" s="2">
        <v>0.14000000000000001</v>
      </c>
      <c r="I99" s="2" t="s">
        <v>72</v>
      </c>
      <c r="J99" s="5">
        <v>51476.160000000003</v>
      </c>
    </row>
    <row r="100" spans="1:10" x14ac:dyDescent="0.3">
      <c r="A100" s="2">
        <v>1099</v>
      </c>
      <c r="B100" s="2" t="s">
        <v>195</v>
      </c>
      <c r="C100" s="2" t="s">
        <v>92</v>
      </c>
      <c r="D100" s="2" t="s">
        <v>82</v>
      </c>
      <c r="E100" s="2" t="s">
        <v>50</v>
      </c>
      <c r="F100"/>
      <c r="G100" s="2">
        <v>1</v>
      </c>
      <c r="H100" s="2">
        <v>0.09</v>
      </c>
      <c r="I100" s="2" t="s">
        <v>76</v>
      </c>
      <c r="J100" s="5">
        <v>35146.019999999997</v>
      </c>
    </row>
    <row r="101" spans="1:10" x14ac:dyDescent="0.3">
      <c r="A101" s="2">
        <v>1100</v>
      </c>
      <c r="B101" s="2" t="s">
        <v>196</v>
      </c>
      <c r="C101" s="2" t="s">
        <v>148</v>
      </c>
      <c r="D101" s="2" t="s">
        <v>75</v>
      </c>
      <c r="E101" s="2" t="s">
        <v>35</v>
      </c>
      <c r="F101"/>
      <c r="G101" s="2">
        <v>1</v>
      </c>
      <c r="H101" s="2">
        <v>0.15</v>
      </c>
      <c r="I101" s="2" t="s">
        <v>76</v>
      </c>
      <c r="J101" s="5">
        <v>28267.599999999999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Products</vt:lpstr>
      <vt:lpstr>Sales</vt:lpstr>
      <vt:lpstr>Homework 5 Basic Functions</vt:lpstr>
      <vt:lpstr>Conditional Functions</vt:lpstr>
      <vt:lpstr>Lookup Functions</vt:lpstr>
      <vt:lpstr>PivotTables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Anna Spirt</cp:lastModifiedBy>
  <dcterms:created xsi:type="dcterms:W3CDTF">2025-09-14T00:38:56Z</dcterms:created>
  <dcterms:modified xsi:type="dcterms:W3CDTF">2025-10-16T23:28:14Z</dcterms:modified>
</cp:coreProperties>
</file>